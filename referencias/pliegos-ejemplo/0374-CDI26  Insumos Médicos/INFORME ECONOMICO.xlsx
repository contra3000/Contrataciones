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Claude\Projects\Generador de Pliegos y Apéndices\Revisor de documentación\0374-CDI26  Insumos Médicos\"/>
    </mc:Choice>
  </mc:AlternateContent>
  <xr:revisionPtr revIDLastSave="0" documentId="8_{E00B9795-DBA8-4550-AB51-8A4FCC67E4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uadro comparativo" sheetId="2" r:id="rId1"/>
  </sheets>
  <definedNames>
    <definedName name="_xlnm.Print_Area" localSheetId="0">'Cuadro comparativo'!$A$1:$AK$76</definedName>
    <definedName name="Datos">'Cuadro comparativo'!$F$1:$F$5</definedName>
    <definedName name="DatosTitulos">'Cuadro comparativo'!$E$1:$E$5</definedName>
    <definedName name="PROVEEDOR">'Cuadro comparativo'!$H$8:$M$8,'Cuadro comparativo'!$N$8:$S$8,'Cuadro comparativo'!$T$8:$Y$8,'Cuadro comparativo'!$Z$8:$AE$8,'Cuadro comparativo'!$AF$8:$AK$8</definedName>
    <definedName name="Titles">'Cuadro comparativo'!$A$8:$G$8</definedName>
  </definedNames>
  <calcPr calcId="191029"/>
</workbook>
</file>

<file path=xl/calcChain.xml><?xml version="1.0" encoding="utf-8"?>
<calcChain xmlns="http://schemas.openxmlformats.org/spreadsheetml/2006/main">
  <c r="I13" i="2" l="1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10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I11" i="2"/>
  <c r="I12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10" i="2"/>
</calcChain>
</file>

<file path=xl/sharedStrings.xml><?xml version="1.0" encoding="utf-8"?>
<sst xmlns="http://schemas.openxmlformats.org/spreadsheetml/2006/main" count="607" uniqueCount="317">
  <si>
    <t>Número expediente:</t>
  </si>
  <si>
    <t>EX-2026-45662628-   -APN-VBAM#FAA</t>
  </si>
  <si>
    <t>Número proceso de compra:</t>
  </si>
  <si>
    <t>40/23-0374-CDI26</t>
  </si>
  <si>
    <t>Nombre descriptivo proceso de compra:</t>
  </si>
  <si>
    <t>INSUMOS MÉDICOS</t>
  </si>
  <si>
    <t>Unidad Operativa de Compras:</t>
  </si>
  <si>
    <t>40/023 - DIVISIÓN CONTRATACIONES MORENO</t>
  </si>
  <si>
    <t>Fecha de Apertura:</t>
  </si>
  <si>
    <t>05/06/2026</t>
  </si>
  <si>
    <t>Renglón</t>
  </si>
  <si>
    <t>Ernesto Van Rosuum y Cía S.R.L.</t>
  </si>
  <si>
    <t>ROSANA MARIA LEONOR POLLERO</t>
  </si>
  <si>
    <t>Lavardén Insumos Médicos SRL</t>
  </si>
  <si>
    <t>SEISEME S.A.</t>
  </si>
  <si>
    <t>INAPYR S.R.L.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</si>
  <si>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</si>
  <si>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</si>
  <si>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</si>
  <si>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</si>
  <si>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</si>
  <si>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</si>
  <si>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</si>
  <si>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</si>
  <si>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</si>
  <si>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</si>
  <si>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2.5.1-8988.475 </t>
  </si>
  <si>
    <t xml:space="preserve">REACTIVOS P/EQUIPO; EQUIPO: CONTADOR HEMATOLOGICO, MARCA EQUIPO: ABX, NOMBRE DEL 
PRODUCTO: SOLUCION ISOTONICA, PRESENTACION: ENVASE X 20 L </t>
  </si>
  <si>
    <t xml:space="preserve">10,000000 </t>
  </si>
  <si>
    <t xml:space="preserve">UNIDAD </t>
  </si>
  <si>
    <t xml:space="preserve">2 </t>
  </si>
  <si>
    <t xml:space="preserve">2.5.1-8988.476 </t>
  </si>
  <si>
    <t xml:space="preserve">REACTIVOS P/EQUIPO; EQUIPO: CONTADOR HEMATOLOGICO, MARCA EQUIPO: ABX, NOMBRE DEL 
PRODUCTO: SOLUCION LISANTE, PRESENTACION: ENVASE X 1 L </t>
  </si>
  <si>
    <t xml:space="preserve">3 </t>
  </si>
  <si>
    <t xml:space="preserve">2.5.1-8988.583 </t>
  </si>
  <si>
    <t xml:space="preserve">REACTIVOS P/EQUIPO; EQUIPO: ANALIZADOR, MARCA EQUIPO: ABX, NOMBRE DEL PRODUCTO: 
LIMPIADOR ENZIMATICO, PRESENTACION: ENVASE X 1 L </t>
  </si>
  <si>
    <t xml:space="preserve">4 </t>
  </si>
  <si>
    <t xml:space="preserve">2.5.1-9052.175 </t>
  </si>
  <si>
    <t xml:space="preserve">REACTIVOS P/LAB. TEC. MANUAL ; NOMBRE: TEST EMBARAZO, USO: DIAGNOSTICO, 
PRESENTACION: ENVASE X 20 UN </t>
  </si>
  <si>
    <t xml:space="preserve">10 </t>
  </si>
  <si>
    <t xml:space="preserve">210000 </t>
  </si>
  <si>
    <t xml:space="preserve">HCG X 50  ALLTEST </t>
  </si>
  <si>
    <t xml:space="preserve">5 </t>
  </si>
  <si>
    <t xml:space="preserve">2.5.1-9052.652 </t>
  </si>
  <si>
    <t xml:space="preserve">REACTIVOS P/LAB. TEC. MANUAL ; NOMBRE: TIRAS REACTIVAS ANALISIS ORINA, 
USO: LABORATORIO, PRESENTACION: ENVASE X 100 DETERM. </t>
  </si>
  <si>
    <t xml:space="preserve">5,000000 </t>
  </si>
  <si>
    <t xml:space="preserve">URINE STRIP X 100  WIENER </t>
  </si>
  <si>
    <t xml:space="preserve">6 </t>
  </si>
  <si>
    <t xml:space="preserve">2.5.1-9052.1077 </t>
  </si>
  <si>
    <t xml:space="preserve">REACTIVOS P/LAB. TEC. MANUAL ; NOMBRE: PRUEBA DE MULTIDROGAS, USO: 
DETERMINACION, PRESENTACION: ENVASE X 25 UN </t>
  </si>
  <si>
    <t xml:space="preserve">3100000 </t>
  </si>
  <si>
    <t xml:space="preserve">PRUEBA DE MULTIDROGAS  6 PARAMETROS (COC/AMP/THC/MDMA/BAR/BZO)  ABON  
X 25 DET. </t>
  </si>
  <si>
    <t xml:space="preserve">2192370 </t>
  </si>
  <si>
    <t xml:space="preserve">Panel de drogas de Abuso MARCA ALLTEST:(2) COC/THC Prueba rápida 
cualitativa diferencial (Inmunoensayo de flujo lateral) para la detección enORINA 
humana. PM 95-188 X 25 DETERMINACIONES </t>
  </si>
  <si>
    <t xml:space="preserve">3248980 </t>
  </si>
  <si>
    <t xml:space="preserve">Panel de drogas de Abuso ALLTEST:(3) COC/THC/BZO Prueba rápida cualitativa 
diferencial (Inmunoensayo de flujo lateral) para la detección en ORINA 
humana. PM 95-188 X 25 DETERMINACIONES </t>
  </si>
  <si>
    <t xml:space="preserve">7 </t>
  </si>
  <si>
    <t xml:space="preserve">2.5.1-9052.144 </t>
  </si>
  <si>
    <t xml:space="preserve">REACTIVOS P/LAB. TEC. MANUAL ; NOMBRE: TIRA P/DETERMINACION HIV 1 
Y 2, USO: DIAGNOSTICO, PRESENTACION: ENVASE X 100 UN </t>
  </si>
  <si>
    <t xml:space="preserve">3,000000 </t>
  </si>
  <si>
    <t xml:space="preserve">1320000 </t>
  </si>
  <si>
    <t xml:space="preserve">HIV DETERMINE X 100  ALERE </t>
  </si>
  <si>
    <t xml:space="preserve">2087694 </t>
  </si>
  <si>
    <t xml:space="preserve">One step HIV 1+2 test (casettes) MARCA CORE TECHNOLOGY : 
Prueba rápida cualitativa (inmunocromatografía) de anticuerpos contra el virus de 
inmunodeficienciahumana (HIV) tipo 1 y tipo 2 en suero o 
plasma. PM 95-244 X 100 DETERMINACIONES </t>
  </si>
  <si>
    <t xml:space="preserve">8 </t>
  </si>
  <si>
    <t xml:space="preserve">2.5.1-9052.174 </t>
  </si>
  <si>
    <t xml:space="preserve">REACTIVOS P/LAB. TEC. MANUAL ; NOMBRE: DETERMINACION VDRL, USO: DIAGNOSTICO, 
PRESENTACION: ENVASE X 10 mL </t>
  </si>
  <si>
    <t xml:space="preserve">SIFILIS DETERMINE X 100  ALERE </t>
  </si>
  <si>
    <t xml:space="preserve">9 </t>
  </si>
  <si>
    <t xml:space="preserve">2.5.1-9020.19 </t>
  </si>
  <si>
    <t xml:space="preserve">AGUAS; COMPUESTO QUIMICO: AGUA DESTILADA, CALIDAD: COMERCIAL, PRESENTACION: ENVASE X 
5 L </t>
  </si>
  <si>
    <t xml:space="preserve">30,000000 </t>
  </si>
  <si>
    <t xml:space="preserve">2.5.2-1821.472 </t>
  </si>
  <si>
    <t xml:space="preserve">ANTIBIOTICOS P/PERSONAS; TIPO: ASOCIACION, DROGA GENERICA: AMOXICILINA AC CLAVULANICO 1 
GR, FORMA FARMACEUTICA: COMPRIMIDO, PRESENTACION: ENVASE X 16 UN </t>
  </si>
  <si>
    <t xml:space="preserve">1000,000000 </t>
  </si>
  <si>
    <t xml:space="preserve">11 </t>
  </si>
  <si>
    <t xml:space="preserve">2.5.2-2199.12 </t>
  </si>
  <si>
    <t xml:space="preserve">BLOQUEANTES NEUROMUSCULARES; DROGA GENERICA: ATRACURONIO, FORMA FARMACEUTICA: AMPOLLA X 5 
mL, PRESENTACION: 50 mGr, TIPO: MONODROGA </t>
  </si>
  <si>
    <t xml:space="preserve">20,000000 </t>
  </si>
  <si>
    <t xml:space="preserve">12 </t>
  </si>
  <si>
    <t xml:space="preserve">2.5.2-2233.8 </t>
  </si>
  <si>
    <t xml:space="preserve">ANTICONVULSIVANTES; DROGA GENERICA: FENITOINA, PRESENTACION: 100 mGr, TIPO: MONODROGA, FORMA 
FARMACEUTICA: AMPOLLA </t>
  </si>
  <si>
    <t xml:space="preserve">13 </t>
  </si>
  <si>
    <t xml:space="preserve">2.5.2-1868.12 </t>
  </si>
  <si>
    <t xml:space="preserve">ANSIOLITICOS; TIPO: MONODROGA, DROGA GENERICA: ALPRAZOLAM, FORMA FARMACEUTICA: COMPRIMIDOS, PRESENTACION: 
2 mGr </t>
  </si>
  <si>
    <t xml:space="preserve">14 </t>
  </si>
  <si>
    <t xml:space="preserve">2.5.2-1883.104 </t>
  </si>
  <si>
    <t xml:space="preserve">ANESTESICOS LOCALES; TIPO: MONODROGA, DROGA GENERICA: LIDOCAINA 2%, FORMA FARMACEUTICA: 
SOLUCION, PRESENTACION: AMPOLLA X 5 mL </t>
  </si>
  <si>
    <t xml:space="preserve">15 </t>
  </si>
  <si>
    <t xml:space="preserve">2.5.2-1829.44 </t>
  </si>
  <si>
    <t xml:space="preserve">ANTIVIRALES; TIPO: MONODROGA, DROGA GENERICA: ACICLOVIR 3%, FORMA FARMACEUTICA: UNGÜENTO, 
PRESENTACION: UNIDAD </t>
  </si>
  <si>
    <t xml:space="preserve">16 </t>
  </si>
  <si>
    <t xml:space="preserve">2.9.5-2161.4 </t>
  </si>
  <si>
    <t xml:space="preserve">CATETERES/SONDAS; NUMERO: 22, TIPO: INTRAVENOSO, PRESENTACION: CAJA X 100 UNDADES 
</t>
  </si>
  <si>
    <t xml:space="preserve">100,000000 </t>
  </si>
  <si>
    <t xml:space="preserve">100 </t>
  </si>
  <si>
    <t xml:space="preserve">3080000 </t>
  </si>
  <si>
    <t xml:space="preserve">CATETER N°22  CAJA X 100  EUROMIX </t>
  </si>
  <si>
    <t xml:space="preserve">3499000 </t>
  </si>
  <si>
    <t xml:space="preserve">Catéter Intravenoso  Importado N° 22  caja x 100 
unidades. Marca: Biocath. PM: 2178-14 </t>
  </si>
  <si>
    <t xml:space="preserve">2525500 </t>
  </si>
  <si>
    <t xml:space="preserve">CATETER IV CANULA CORONET G-22 BOX X 100 UNID  
 </t>
  </si>
  <si>
    <t xml:space="preserve">3242500 </t>
  </si>
  <si>
    <t xml:space="preserve">Cateter intravenoso 22G teflon PRESENTACION: CAJA X 100 MARCA:EUROMIX PM:1440-61 
</t>
  </si>
  <si>
    <t xml:space="preserve">17 </t>
  </si>
  <si>
    <t xml:space="preserve">2.9.5-2161.3 </t>
  </si>
  <si>
    <t xml:space="preserve">CATETERES/SONDAS; NUMERO: 20, TIPO: INTRAVENOSO, PRESENTACION: CAJA X 100 UNDADES 
</t>
  </si>
  <si>
    <t xml:space="preserve">CATETER N°20  CAJA X 100  EUROMIX </t>
  </si>
  <si>
    <t xml:space="preserve">Catéter Intravenoso  Importado N° 20 caja x 100 unidades. 
Marca: Biocath. PM: 2178-14 </t>
  </si>
  <si>
    <t xml:space="preserve">CATETER IV CANULA CORONET G-20 BOX X 100 UNID  
 </t>
  </si>
  <si>
    <t xml:space="preserve">Cateter intravenoso 20G teflon PRESENTACION: CAJA X100 MARCA:EUROMIX PM:1440-61 </t>
  </si>
  <si>
    <t xml:space="preserve">18 </t>
  </si>
  <si>
    <t xml:space="preserve">2.9.5-2161.2 </t>
  </si>
  <si>
    <t xml:space="preserve">CATETERES/SONDAS; NUMERO: 18, TIPO: INTRAVENOSO, PRESENTACION: CAJA X 100 UNDADES 
</t>
  </si>
  <si>
    <t xml:space="preserve">CATETER N°18  CAJA X 100  EUROMIX </t>
  </si>
  <si>
    <t xml:space="preserve">Catéter Intravenoso  Importado N° 18 caja x 100 unidades. 
Marca: Biocath. PM: 2178-14 </t>
  </si>
  <si>
    <t xml:space="preserve">CATETER IV CANULA CORONET G-18 BOX X 100 UNID  
 </t>
  </si>
  <si>
    <t xml:space="preserve">Cateter intravenoso 18G teflon PRESENTACION: CAJA X 100 MARCA:EUROMIX PM:1440-61 
</t>
  </si>
  <si>
    <t xml:space="preserve">19 </t>
  </si>
  <si>
    <t xml:space="preserve">2.9.5-2161.1 </t>
  </si>
  <si>
    <t xml:space="preserve">CATETERES/SONDAS; NUMERO: 16, TIPO: INTRAVENOSO, PRESENTACION: CAJA X 100 UNDADES 
</t>
  </si>
  <si>
    <t xml:space="preserve">CATETER N°16  CAJA X 100  EUROMIX </t>
  </si>
  <si>
    <t xml:space="preserve">Catéter Intravenoso  Importado N° 16 caja x 100 unidades. 
Marca: Biocath. PM: 2178-14 </t>
  </si>
  <si>
    <t xml:space="preserve">CATETER IV CANULA CORONET G-16 BOX X 100 UNID </t>
  </si>
  <si>
    <t xml:space="preserve">Cateter intravenoso 16G teflon PRESENTACION: CAJA X 100 MARCA:EUROMIX PM:1440-61 
</t>
  </si>
  <si>
    <t xml:space="preserve">20 </t>
  </si>
  <si>
    <t xml:space="preserve">2.9.5-5378.1 </t>
  </si>
  <si>
    <t xml:space="preserve">TUBOS P/HEMOGRAMA; DIMENSION: 13 X 75 mm, TIPO: C/ANTICOAGULANTE EDTA 
</t>
  </si>
  <si>
    <t xml:space="preserve">500,000000 </t>
  </si>
  <si>
    <t xml:space="preserve">500 </t>
  </si>
  <si>
    <t xml:space="preserve">250000 </t>
  </si>
  <si>
    <t xml:space="preserve">TUBOS P/HEMOGRAMA; DIMENSION: 13 X 75 mm, TIPO: C/ANTICOAGULANTE EDTA 
 TECNON </t>
  </si>
  <si>
    <t xml:space="preserve">186000 </t>
  </si>
  <si>
    <t xml:space="preserve">TUBOS P/HEMOGRAMA; DIMENSION: 13 X 75 mm, TIPO: C/ANTICOAGULANTE EDTA 
PARA 2/3 ML DE MUESTRA MARCA BLUTTEST/TECNON X UNIDAD </t>
  </si>
  <si>
    <t xml:space="preserve">111500 </t>
  </si>
  <si>
    <t xml:space="preserve">TUBOS PARA HEMOGRAMA tapa perforable; CON ANTICOAGULANTE K2 EDTA, 13X75 
mm, PRESENTACIOn : precio x unidad MARCA: NG MED  
</t>
  </si>
  <si>
    <t xml:space="preserve">21 </t>
  </si>
  <si>
    <t xml:space="preserve">2.9.5-5409.1 </t>
  </si>
  <si>
    <t xml:space="preserve">TUBOS P/ANALISIS DE SANGRE; MATERIAL: POLIMETILMETACRILATO, TIPO: C/ACELER. COAG. C/ 
GEL SEPARAD, DIMENSION: 13 X 75 mm </t>
  </si>
  <si>
    <t xml:space="preserve">TUBOS P/ANALISIS DE SANGRE; MATERIAL: POLIMETILMETACRILATO, TIPO: C/ACELER. COAG. C/ 
GEL SEPARAD, DIMENSION: 13 X 75 mm  TECNON </t>
  </si>
  <si>
    <t xml:space="preserve">289000 </t>
  </si>
  <si>
    <t xml:space="preserve">TUBOS P/ANALISIS DE SANGRE; MATERIAL: POLIMETILMETACRILATO, TIPO: C/ACELER. COAG. C/ 
GEL SEPARAD, DIMENSION: 13 X 75 mm PARA 2.5/3 ML 
DE MUESTRA MARCA BLUTTEST/TECNON X UNIDAD </t>
  </si>
  <si>
    <t xml:space="preserve">161000 </t>
  </si>
  <si>
    <t xml:space="preserve">TUBOS PARA ANALISIS DE SANGRE TIPO: C/ACELER. COAG. C/ GEL 
SEPARAD, DIMENSION: 13 X 75 mm PRESENTACION: precio x unidad 
MARCA:NG MED </t>
  </si>
  <si>
    <t xml:space="preserve">22 </t>
  </si>
  <si>
    <t xml:space="preserve">2.9.5-448.22 </t>
  </si>
  <si>
    <t xml:space="preserve">FRASCOS ESTERILES; CAPACIDAD: 250 mL, PRESENTACION: CON TAPA DE PVC, 
GRABADO: SIN, USO: BIOLOGICO </t>
  </si>
  <si>
    <t xml:space="preserve">1200,000000 </t>
  </si>
  <si>
    <t xml:space="preserve">1200 </t>
  </si>
  <si>
    <t xml:space="preserve">286800 </t>
  </si>
  <si>
    <t xml:space="preserve">FRASCOS ORINA 125CM3 ESTERIL  PS ANESTHESIA </t>
  </si>
  <si>
    <t xml:space="preserve">1698000 </t>
  </si>
  <si>
    <t xml:space="preserve">Frascos esteriles capacidad 250ml x unidad. Marca: Greyton. PM: 847-2 
</t>
  </si>
  <si>
    <t xml:space="preserve">1016400 </t>
  </si>
  <si>
    <t xml:space="preserve">ENVASE ESTÉRIL COLECTORA DE ORINA GREYTON  (250 CC) BOLSA 
1 UN   </t>
  </si>
  <si>
    <t xml:space="preserve">1450800 </t>
  </si>
  <si>
    <t xml:space="preserve">FRASCOS ESTERILES; CAPACIDAD: 250 mL, PRESENTACION: CON TAPA DE PVC, 
GRABADO: SIN, USO: BIOLOGICO MARCA: GREYTON  PM:847-8   
  </t>
  </si>
  <si>
    <t xml:space="preserve">23 </t>
  </si>
  <si>
    <t xml:space="preserve">2.9.5-441.226 </t>
  </si>
  <si>
    <t xml:space="preserve">AGUJAS QUIRURGICAS; TIPO: HIPODERMICA, ESPECIFICACION: 50/8, PRESENTACION: CAJA X 100 
UN </t>
  </si>
  <si>
    <t xml:space="preserve">135000 </t>
  </si>
  <si>
    <t xml:space="preserve">AGUJAS QUIRURGICAS; TIPO: HIPODERMICA, ESPECIFICACION: 50/8, PRESENTACION: CAJA X 100 
UN  TERUMO </t>
  </si>
  <si>
    <t xml:space="preserve">13615 </t>
  </si>
  <si>
    <t xml:space="preserve">AGUJA HIPODÉRMICA CORONET 50/8 (21G X 2) CAJA 100 UN 
</t>
  </si>
  <si>
    <t xml:space="preserve">18985 </t>
  </si>
  <si>
    <t xml:space="preserve">Aguja hipoderm est desc 50/ 8 (21 x 2) -PRESENTACION: 
CJx100 MARCA:EUROMIX PM:1440-236 </t>
  </si>
  <si>
    <t xml:space="preserve">24 </t>
  </si>
  <si>
    <t xml:space="preserve">2.9.5-441.51 </t>
  </si>
  <si>
    <t xml:space="preserve">AGUJAS QUIRURGICAS; TIPO: DESCARTABLE, UNIDAD VENTA: 100, ESPECIFICACION: 40/8, PRESENTACION: 
100 </t>
  </si>
  <si>
    <t xml:space="preserve">AGUJAS QUIRURGICAS; TIPO: DESCARTABLE, UNIDAD VENTA: 100, ESPECIFICACION: 40/8, PRESENTACION: 
100  TERUMO </t>
  </si>
  <si>
    <t xml:space="preserve">11025 </t>
  </si>
  <si>
    <t xml:space="preserve">AGUJA HIPODÉRMICA CORONET 40/8 (21G X 1½) CAJA 100 UN 
  </t>
  </si>
  <si>
    <t xml:space="preserve">12150 </t>
  </si>
  <si>
    <t xml:space="preserve">Aguja hipoderm est desc 40/ 8 (21 x 1 1/2) 
-PRESENTACION: CJx100 MARCA:JJMD PM:1440-236 </t>
  </si>
  <si>
    <t xml:space="preserve">25 </t>
  </si>
  <si>
    <t xml:space="preserve">2.9.5-2886.136 </t>
  </si>
  <si>
    <t xml:space="preserve">HILOS DE SUTURA; PRESENTACION: UNIDAD, MATERIAL: NAILON C/AGUJA CURVA 60 
MM, MEDIDA: 2/0 </t>
  </si>
  <si>
    <t xml:space="preserve">26 </t>
  </si>
  <si>
    <t xml:space="preserve">2.9.5-2886.195 </t>
  </si>
  <si>
    <t xml:space="preserve">HILOS DE SUTURA; PRESENTACION: UNIDAD, MATERIAL: NYLON C/AG 1/2, MEDIDA: 
CAL 3/0 </t>
  </si>
  <si>
    <t xml:space="preserve">27 </t>
  </si>
  <si>
    <t xml:space="preserve">2.9.5-2886.208 </t>
  </si>
  <si>
    <t xml:space="preserve">HILOS DE SUTURA; PRESENTACION: UNIDAD, MATERIAL: NYLON, MEDIDA: CALIBRE 4/0 
</t>
  </si>
  <si>
    <t xml:space="preserve">28 </t>
  </si>
  <si>
    <t xml:space="preserve">2.9.5-1909.81 </t>
  </si>
  <si>
    <t xml:space="preserve">GUANTES USO MEDICINAL; TIPO: DESCARTABLE, TAMAÑO: GRANDE, MATERIAL: LATEX, PRESENTACION: 
ENVASE X 100 UN </t>
  </si>
  <si>
    <t xml:space="preserve">30000 </t>
  </si>
  <si>
    <t xml:space="preserve">GUANTES USO MEDICINAL; TIPO: DESCARTABLE, TAMAÑO: GRANDE, MATERIAL: LATEX, PRESENTACION: 
ENVASE X 100 UN  EUROMIX </t>
  </si>
  <si>
    <t xml:space="preserve">45000 </t>
  </si>
  <si>
    <t xml:space="preserve">GUANTES USO MEDICINAL; TIPO: DESCARTABLE, TAMAÑO: GRANDE, MATERIAL: LATEX, PRESENTACION: 
ENVASE X 100 UN MARCA:POWERCREST/MEDISUL PM:755-25     
</t>
  </si>
  <si>
    <t xml:space="preserve">GUANTES USO MEDICINAL; TIPO: DESCARTABLE, TAMAÑO: GRANDE, MATERIAL: LATEX, PRESENTACION: 
ENVASE X 100 UN MARCA:dexal PM:647-143     
</t>
  </si>
  <si>
    <t xml:space="preserve">29 </t>
  </si>
  <si>
    <t xml:space="preserve">2.9.5-1909.87 </t>
  </si>
  <si>
    <t xml:space="preserve">GUANTES USO MEDICINAL; TIPO: DESCARTABLE, TAMAÑO: MEDIANO, MATERIAL: LATEX, PRESENTACION: 
ENVASE X 100 UN </t>
  </si>
  <si>
    <t xml:space="preserve">GUANTES USO MEDICINAL; TIPO: DESCARTABLE, TAMAÑO: MEDIANO, MATERIAL: LATEX, PRESENTACION: 
ENVASE X 100 UN  EUROMIX </t>
  </si>
  <si>
    <t xml:space="preserve">29830 </t>
  </si>
  <si>
    <t xml:space="preserve">GUANTE EXAMEN CORONET M (LÁTEX - NATURAL) CAJA X 100 
UN   </t>
  </si>
  <si>
    <t xml:space="preserve">GUANTES USO MEDICINAL; TIPO: DESCARTABLE, TAMAÑO: MEDIANO, MATERIAL: LATEX, PRESENTACION: 
ENVASE X 100 UN MARCA:POWERCREST/MEDISUL PM:755-25     
</t>
  </si>
  <si>
    <t xml:space="preserve">GUANTES USO MEDICINAL; TIPO: DESCARTABLE, TAMAÑO: MEDIANO, MATERIAL: LATEX, PRESENTACION: 
ENVASE X 100 UN MARCA:dexal PM:647-143     
</t>
  </si>
  <si>
    <t xml:space="preserve">30 </t>
  </si>
  <si>
    <t xml:space="preserve">2.9.5-1909.115 </t>
  </si>
  <si>
    <t xml:space="preserve">GUANTES USO MEDICINAL; TIPO: DESCARTABLE, TAMAÑO: SMALL, MATERIAL: LATEX, PRESENTACION: 
ENVASE X 100 UN </t>
  </si>
  <si>
    <t xml:space="preserve">GUANTES USO MEDICINAL; TIPO: DESCARTABLE, TAMAÑO: SMALL, MATERIAL: LATEX, PRESENTACION: 
ENVASE X 100 UN  EUROMIX </t>
  </si>
  <si>
    <t xml:space="preserve">GUANTE EXAMEN CORONET S (LÁTEX - NATURAL) CAJA X 100 
UN </t>
  </si>
  <si>
    <t xml:space="preserve">GUANTES USO MEDICINAL; TIPO: DESCARTABLE, TAMAÑO: SMALL, MATERIAL: LATEX, PRESENTACION: 
ENVASE X 100 UN MARCA:POWERCREST/MEDISUL PM:755-25     
</t>
  </si>
  <si>
    <t xml:space="preserve">GUANTES USO MEDICINAL; TIPO: DESCARTABLE, TAMAÑO: SMALL, MATERIAL: LATEX, PRESENTACION: 
ENVASE X 100 UN MARCA:dexal PM:647-143     
</t>
  </si>
  <si>
    <t xml:space="preserve">31 </t>
  </si>
  <si>
    <t xml:space="preserve">2.9.5-2204.31 </t>
  </si>
  <si>
    <t xml:space="preserve">GUIAS DE SUERO; USO: ADMINISTRACION DE SOLUCIONES, AGUJA: CON, MODELO: 
V13, TIPO: MACROGOTERO </t>
  </si>
  <si>
    <t xml:space="preserve">32 </t>
  </si>
  <si>
    <t xml:space="preserve">2.5.2-710.3 </t>
  </si>
  <si>
    <t xml:space="preserve">AGUA OXIGENADA; VOLUMEN: 10, CAPACIDAD: 500 CM3, PRESENTACION: ENVASE X 
500 CM3 </t>
  </si>
  <si>
    <t xml:space="preserve">50,000000 </t>
  </si>
  <si>
    <t xml:space="preserve">50 </t>
  </si>
  <si>
    <t xml:space="preserve">37500 </t>
  </si>
  <si>
    <t xml:space="preserve">SE ENTREGARAN 25 BOTELLAS DE 1 LT  AGUA OXIGENADA 
10 VOL X 1 LT  IBC </t>
  </si>
  <si>
    <t xml:space="preserve">98950 </t>
  </si>
  <si>
    <t xml:space="preserve">AGUA OXIGENADA; VOLUMEN: 10, CAPACIDAD: 500 CM3, PRESENTACION: ENVASE X 
500 CM3 MARCA:DROGAL  Disposición ANMAT 56-2009 / 7175-11  
   </t>
  </si>
  <si>
    <t xml:space="preserve">33 </t>
  </si>
  <si>
    <t xml:space="preserve">2.5.2-2200.25 </t>
  </si>
  <si>
    <t xml:space="preserve">CORTICOIDES; DROGA GENERICA: HIDROCORTISONA, FORMA FARMACEUTICA: FRASCO AMPOLLA, PRESENTACION: 500 
mGr, TIPO: SIN VALOR </t>
  </si>
  <si>
    <t xml:space="preserve">15,000000 </t>
  </si>
  <si>
    <t xml:space="preserve">34 </t>
  </si>
  <si>
    <t xml:space="preserve">2.5.2-6910.6 </t>
  </si>
  <si>
    <t xml:space="preserve">ANTIEMETICOS; TIPO: MONODROGA, DROGA GENERICA: METOCLOPRAMIDA, FORMA FARMACEUTICA: AMPOLLA, PRESENTACION: 
2 mL </t>
  </si>
  <si>
    <t xml:space="preserve">35 </t>
  </si>
  <si>
    <t xml:space="preserve">2.5.2-1855.7 </t>
  </si>
  <si>
    <t xml:space="preserve">CORTICOESTEROIDES; TIPO: MONODROGA, DROGA GENERICA: DEXAMETASONA, FORMA FARMACEUTICA: AMPOLLA, PRESENTACION: 
8 mGr </t>
  </si>
  <si>
    <t xml:space="preserve">36 </t>
  </si>
  <si>
    <t xml:space="preserve">2.5.2-1725.4 </t>
  </si>
  <si>
    <t xml:space="preserve">ANTIINFLAMATORIOS NO ESTEROIDE; TIPO: MONODROGA, DROGA GENERICA: DICLOFENAC SODICO, FORMA 
FARMACEUTICA: AMPOLLA, PRESENTACION: 75 mGr </t>
  </si>
  <si>
    <t xml:space="preserve">37 </t>
  </si>
  <si>
    <t xml:space="preserve">2.5.2-1725.9 </t>
  </si>
  <si>
    <t xml:space="preserve">ANTIINFLAMATORIOS NO ESTEROIDE; TIPO: MONODROGA, FORMA FARMACEUTICA: COMPRIMIDO, PRESENTACION: 75 
mGr, DROGA GENERICA: DICLOFENAC SODICO </t>
  </si>
  <si>
    <t xml:space="preserve">38 </t>
  </si>
  <si>
    <t xml:space="preserve">2.5.2-1726.23 </t>
  </si>
  <si>
    <t xml:space="preserve">SOLUCIONES P/MEDICINA; PRESENTACION: ENVASE X 500 mL, TIPO: FISIOLOGICA </t>
  </si>
  <si>
    <t xml:space="preserve">39 </t>
  </si>
  <si>
    <t xml:space="preserve">2.5.2-2476.4 </t>
  </si>
  <si>
    <t xml:space="preserve">ANTIALERGICOS-ANTIHISTAMINICOS; TIPO: ASOCIACION, DROGA GENERICA: LORATADINA, FORMA FARMACEUTICA: COMPRIMIDO, PRESENTACION: 
CAJA X 10 </t>
  </si>
  <si>
    <t xml:space="preserve">40 </t>
  </si>
  <si>
    <t xml:space="preserve">2.5.2-1726.411 </t>
  </si>
  <si>
    <t xml:space="preserve">SOLUCIONES P/MEDICINA; TIPO: RINGER LACTATO ENV. DOBLE ESTE, PRESENTACION: ENVASE 
X 500 mL </t>
  </si>
  <si>
    <t xml:space="preserve">41 </t>
  </si>
  <si>
    <t xml:space="preserve">2.5.2-1816.3 </t>
  </si>
  <si>
    <t xml:space="preserve">ANTIDIARREICOS; TIPO: MONODROGA, DROGA GENERICA: LOPERAMIDA, FORMA FARMACEUTICA: COMPRIMIDO, PRESENTACION: 
2 mGr </t>
  </si>
  <si>
    <t xml:space="preserve">42 </t>
  </si>
  <si>
    <t xml:space="preserve">2.5.2-1725.165 </t>
  </si>
  <si>
    <t xml:space="preserve">ANTIINFLAMATORIOS NO ESTEROIDE; TIPO: MONODROGA, DROGA GENERICA: DIPIRONA, FORMA FARMACEUTICA: 
AMPOLLA, PRESENTACION: 2 mL </t>
  </si>
  <si>
    <t xml:space="preserve">43 </t>
  </si>
  <si>
    <t xml:space="preserve">2.5.2-1875.66 </t>
  </si>
  <si>
    <t xml:space="preserve">ANTIASMATICO BRONCODILATADOR; TIPO: MONODROGA, DROGA GENERICA: ADRENALINA, FORMA FARMACEUTICA: AMPOLLA, 
PRESENTACION: ENVASE X 1 mL </t>
  </si>
  <si>
    <t xml:space="preserve">44 </t>
  </si>
  <si>
    <t xml:space="preserve">2.5.2-1843.4 </t>
  </si>
  <si>
    <t xml:space="preserve">ANTIESPASMODICOS; TIPO: MONODROGA, DROGA GENERICA: HIOSCINA N-BUTILBROMURO, FORMA FARMACEUTICA: AMPOLLA, 
PRESENTACION: 5 mL </t>
  </si>
  <si>
    <t xml:space="preserve">45 </t>
  </si>
  <si>
    <t xml:space="preserve">2.5.2-1875.11 </t>
  </si>
  <si>
    <t xml:space="preserve">ANTIASMATICO BRONCODILATADOR; TIPO: MONODROGA, PRESENTACION: 20 mL, FORMA FARMACEUTICA: GOTAS, 
DROGA GENERICA: SALBUTAMOL </t>
  </si>
  <si>
    <t xml:space="preserve">46 </t>
  </si>
  <si>
    <t xml:space="preserve">2.5.2-2199.15 </t>
  </si>
  <si>
    <t xml:space="preserve">BLOQUEANTES NEUROMUSCULARES; DROGA GENERICA: SUCCINILCOLINA, FORMA FARMACEUTICA: AMPOLLA, PRESENTACION: 100 
mGr, TIPO: MONODROGA </t>
  </si>
  <si>
    <t xml:space="preserve">47 </t>
  </si>
  <si>
    <t xml:space="preserve">2.5.2-1875.80 </t>
  </si>
  <si>
    <t xml:space="preserve">ANTIASMATICO BRONCODILATADOR; TIPO: MONODROGA, DROGA GENERICA: SALBUTAMOL, FORMA FARMACEUTICA: AEROSOL, 
PRESENTACION: 250 DOSIS </t>
  </si>
  <si>
    <t xml:space="preserve">48 </t>
  </si>
  <si>
    <t xml:space="preserve">2.5.2-1875.9 </t>
  </si>
  <si>
    <t xml:space="preserve">ANTIASMATICO BRONCODILATADOR; TIPO: MONODROGA, DROGA GENERICA: BROMURO DE IPRATROPIO, FORMA 
FARMACEUTICA: SOLUCION, PRESENTACION: 20 mL </t>
  </si>
  <si>
    <t xml:space="preserve">49 </t>
  </si>
  <si>
    <t xml:space="preserve">2.5.2-1835.11 </t>
  </si>
  <si>
    <t xml:space="preserve">DIURETICOS; TIPO: MONODROGA, DROGA GENERICA: FUROSEMIDA, FORMA FARMACEUTICA: AMPOLLA, PRESENTACION: 
20 mGr </t>
  </si>
  <si>
    <t xml:space="preserve">2.5.2-1875.128 </t>
  </si>
  <si>
    <t xml:space="preserve">ANTIASMATICO BRONCODILATADOR; TIPO: MONODROGA, DROGA GENERICA: BUDESONIDE 100 MG, FORMA 
FARMACEUTICA: GOTAS, PRESENTACION: ENVASE X 20 mL </t>
  </si>
  <si>
    <t xml:space="preserve">51 </t>
  </si>
  <si>
    <t xml:space="preserve">2.5.2-1821.28 </t>
  </si>
  <si>
    <t xml:space="preserve">ANTIBIOTICOS P/PERSONAS; TIPO: MONODROGA, FORMA FARMACEUTICA: AMPOLLA, PRESENTACION: 500 IV 
mGr, DROGA GENERICA: IMIPENEM </t>
  </si>
  <si>
    <t xml:space="preserve">52 </t>
  </si>
  <si>
    <t xml:space="preserve">2.5.2-1849.3 </t>
  </si>
  <si>
    <t xml:space="preserve">ANTIULCEROSOS; TIPO: MONODROGA, DROGA GENERICA: OMEPRAZOL, FORMA FARMACEUTICA: CAPSULA, PRESENTACION: 
20 mGr </t>
  </si>
  <si>
    <t xml:space="preserve">150,000000 </t>
  </si>
  <si>
    <t xml:space="preserve">53 </t>
  </si>
  <si>
    <t xml:space="preserve">2.5.2-1849.1 </t>
  </si>
  <si>
    <t xml:space="preserve">ANTIULCEROSOS; TIPO: MONODROGA, DROGA GENERICA: RANITIDINA, FORMA FARMACEUTICA: AMPOLLA, PRESENTACION: 
50 mGr </t>
  </si>
  <si>
    <t xml:space="preserve">54 </t>
  </si>
  <si>
    <t xml:space="preserve">2.5.2-1724.4 </t>
  </si>
  <si>
    <t xml:space="preserve">ANALGESICOS ; TIPO: MONODROGA, DROGA GENERICA: IBUPROFENO, PRESENTACION: 400 mGr, 
FORMA FARMACEUTICA: COMPRIMIDO </t>
  </si>
  <si>
    <t xml:space="preserve">55 </t>
  </si>
  <si>
    <t xml:space="preserve">2.5.2-1821.46 </t>
  </si>
  <si>
    <t xml:space="preserve">ANTIBIOTICOS P/PERSONAS; TIPO: MONODROGA, FORMA FARMACEUTICA: COMPRIMIDO, PRESENTACION: 500 mGr, 
DROGA GENERICA: CIPROFLOXACINA </t>
  </si>
  <si>
    <t xml:space="preserve">56 </t>
  </si>
  <si>
    <t xml:space="preserve">2.5.2-1821.12 </t>
  </si>
  <si>
    <t xml:space="preserve">ANTIBIOTICOS P/PERSONAS; TIPO: MONODROGA, PRESENTACION: 2.400.000 UI, DROGA GENERICA: PENICILINA 
G. BENZATINICA, FORMA FARMACEUTICA: AMPOLLA </t>
  </si>
  <si>
    <t xml:space="preserve">57 </t>
  </si>
  <si>
    <t xml:space="preserve">2.5.2-1868.5 </t>
  </si>
  <si>
    <t xml:space="preserve">ANSIOLITICOS; DROGA GENERICA: DIAZEPAM 10 mGr, FORMA FARMACEUTICA: FRASCO AMPOLLA 
INYECTABLE, PRESENTACION: ENVASE X 2 mL, TIPO: MONODROGA </t>
  </si>
  <si>
    <t xml:space="preserve">58 </t>
  </si>
  <si>
    <t xml:space="preserve">2.5.2-1868.6 </t>
  </si>
  <si>
    <t xml:space="preserve">ANSIOLITICOS; TIPO: MONODROGA, FORMA FARMACEUTICA: COMPRIMIDO, PRESENTACION: UNIDAD, DROGA GENERICA: 
DIAZEPAM 10 mGr </t>
  </si>
  <si>
    <t xml:space="preserve">59 </t>
  </si>
  <si>
    <t xml:space="preserve">2.5.2-3258.6 </t>
  </si>
  <si>
    <t xml:space="preserve">ANTIGRIPALES; TIPO: ASOCIACION, DROGA GENERICA: PARACETAMOL+PSEUDOEFED.+BROMEX, FORMA FARMACEUTICA: COMPRIMIDO, PRESENTACION: 
CAJA X 20 UN </t>
  </si>
  <si>
    <t xml:space="preserve">60 </t>
  </si>
  <si>
    <t xml:space="preserve">2.5.2-1837.7 </t>
  </si>
  <si>
    <t xml:space="preserve">HIPOTENSORES; DROGA GENERICA: ENALAPRIL, FORMA FARMACEUTICA: COMPRIMIDO, TIPO: MONODROGA, PRESENTACION: 
10 mGr </t>
  </si>
  <si>
    <t xml:space="preserve">200,000000 </t>
  </si>
  <si>
    <t xml:space="preserve">61 </t>
  </si>
  <si>
    <t xml:space="preserve">2.5.2-1913.3 </t>
  </si>
  <si>
    <t xml:space="preserve">SULFONAMIDA-QUIMIOTERAPICO; TIPO: ASOCIACION, DROGA GENERICA: SULFADIAZINA+VITA+LIDOCAINA, FORMA FARMACEUTICA: CREMA, PRESENTACION: 
400 mGr </t>
  </si>
  <si>
    <t xml:space="preserve">62 </t>
  </si>
  <si>
    <t xml:space="preserve">2.5.2-1821.248 </t>
  </si>
  <si>
    <t xml:space="preserve">ANTIBIOTICOS P/PERSONAS; TIPO: MONODROGA, DROGA GENERICA: TOBRAMICINA, FORMA FARMACEUTICA: GOTAS, 
PRESENTACION: 5 mL </t>
  </si>
  <si>
    <t xml:space="preserve">Total: </t>
  </si>
  <si>
    <t>19989300,00 ARS</t>
  </si>
  <si>
    <t>5811674,00 ARS</t>
  </si>
  <si>
    <t>15694000,00 ARS</t>
  </si>
  <si>
    <t>11202700,00 ARS</t>
  </si>
  <si>
    <t>14958385,00 ARS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</si>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</sst>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\ #,##0.000000"/>
    <numFmt numFmtId="165" formatCode="#,##0.000000"/>
    <numFmt numFmtId="166" formatCode="\$\ #,##0.00"/>
  </numFmts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2ADD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44" fontId="2" fillId="0" borderId="0" applyFont="0" applyFill="0" applyBorder="0" applyAlignment="0" applyProtection="0"/>
  </cellStyleXfs>
  <cellXfs count="13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  <xf numFmtId="166" fontId="0" fillId="0" borderId="0" xfId="0" applyNumberFormat="1" applyFill="1" applyAlignment="1" applyProtection="1"/>
    <xf numFmtId="44" fontId="0" fillId="0" borderId="0" xfId="1" applyFont="1" applyFill="1" applyAlignment="1" applyProtection="1"/>
    <xf numFmtId="44" fontId="3" fillId="0" borderId="0" xfId="0" applyNumberFormat="1" applyFont="1" applyFill="1" applyAlignment="1" applyProtection="1"/>
    <xf numFmtId="44" fontId="3" fillId="0" borderId="0" xfId="1" applyFon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164" fontId="0" fillId="3" borderId="0" xfId="0" applyNumberFormat="1" applyFill="1" applyAlignment="1" applyProtection="1"/>
    <xf numFmtId="164" fontId="0" fillId="4" borderId="0" xfId="0" applyNumberFormat="1" applyFill="1" applyAlignment="1" applyProtection="1"/>
    <xf numFmtId="0" fontId="0" fillId="5" borderId="0" xfId="0" applyNumberFormat="1" applyFill="1" applyAlignment="1" applyProtection="1"/>
  </cellXfs>
  <cellStyles count="2">
    <cellStyle name="Moneda" xfId="1" builtinId="4"/>
    <cellStyle name="Normal" xfId="0" builtinId="0"/>
  </cellStyles>
  <dxfs count="34">
    <dxf>
      <numFmt numFmtId="166" formatCode="\$\ 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64" formatCode="\ #,##0.000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4" formatCode="_-&quot;$&quot;\ * #,##0.00_-;\-&quot;$&quot;\ * #,##0.00_-;_-&quot;$&quot;\ 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65" formatCode="#,##0.000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66" formatCode="\$\ 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66" formatCode="\$\ #,##0.00"/>
    </dxf>
    <dxf>
      <numFmt numFmtId="164" formatCode="\ #,##0.000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64" formatCode="\ #,##0.000000"/>
    </dxf>
    <dxf>
      <numFmt numFmtId="164" formatCode="\ #,##0.000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66" formatCode="\$\ 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66" formatCode="\$\ #,##0.00"/>
    </dxf>
    <dxf>
      <numFmt numFmtId="164" formatCode="\ #,##0.000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64" formatCode="\ #,##0.000000"/>
    </dxf>
    <dxf>
      <numFmt numFmtId="164" formatCode="\ #,##0.000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66" formatCode="\$\ 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66" formatCode="\$\ #,##0.00"/>
    </dxf>
    <dxf>
      <numFmt numFmtId="164" formatCode="\ #,##0.000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64" formatCode="\ #,##0.000000"/>
    </dxf>
    <dxf>
      <numFmt numFmtId="164" formatCode="\ #,##0.000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66" formatCode="\$\ 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66" formatCode="\$\ #,##0.00"/>
    </dxf>
    <dxf>
      <numFmt numFmtId="164" formatCode="\ #,##0.000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64" formatCode="\ #,##0.000000"/>
    </dxf>
    <dxf>
      <numFmt numFmtId="164" formatCode="\ #,##0.000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66" formatCode="\$\ #,##0.00"/>
    </dxf>
    <dxf>
      <numFmt numFmtId="164" formatCode="\ #,##0.000000"/>
    </dxf>
    <dxf>
      <numFmt numFmtId="164" formatCode="\ #,##0.000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65" formatCode="#,##0.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G76" totalsRowCount="1">
  <tableColumns count="7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10" xr3:uid="{00000000-0010-0000-0000-00000A000000}" name="Columna1" totalsRowDxfId="5" dataCellStyle="Moneda" totalsRowCellStyle="Moneda"/>
    <tableColumn id="4" xr3:uid="{00000000-0010-0000-0000-000004000000}" name="Descripción" totalsRowDxfId="4"/>
    <tableColumn id="5" xr3:uid="{00000000-0010-0000-0000-000005000000}" name="Cantidad solicitada" dataDxfId="33" totalsRowDxfId="3"/>
    <tableColumn id="6" xr3:uid="{00000000-0010-0000-0000-000006000000}" name="Unidad de medi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H9:L76" totalsRowCount="1">
  <tableColumns count="5">
    <tableColumn id="1" xr3:uid="{00000000-0010-0000-0100-000001000000}" name="Precio unitario" totalsRowDxfId="2" dataCellStyle="Moneda"/>
    <tableColumn id="5" xr3:uid="{00000000-0010-0000-0100-000005000000}" name="Columna1" dataDxfId="32">
      <calculatedColumnFormula>IF(OR(D10=0,D10="",H10=0,H10=""),"",IF(H10&lt;=(D10*1.3),"Dentro del margen","Fuera del margen"))</calculatedColumnFormula>
    </tableColumn>
    <tableColumn id="2" xr3:uid="{00000000-0010-0000-0100-000002000000}" name="Cantidad ofertada" dataDxfId="31" totalsRowDxfId="1"/>
    <tableColumn id="3" xr3:uid="{00000000-0010-0000-0100-000003000000}" name="Total por renglón" totalsRowLabel="19989300,00 ARS" dataDxfId="30" totalsRowDxfId="0"/>
    <tableColumn id="4" xr3:uid="{00000000-0010-0000-0100-000004000000}" name="Especificacion técnic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N9:R76" totalsRowCount="1">
  <tableColumns count="5">
    <tableColumn id="1" xr3:uid="{00000000-0010-0000-0200-000001000000}" name="Precio unitario" totalsRowDxfId="29" dataCellStyle="Moneda"/>
    <tableColumn id="5" xr3:uid="{00000000-0010-0000-0200-000005000000}" name="Columna1" dataDxfId="28">
      <calculatedColumnFormula>IF(OR(D10=0,D10="",N10=0,N10=""),"",IF(N10&lt;=(D10*1.3),"Dentro del margen","Fuera del margen"))</calculatedColumnFormula>
    </tableColumn>
    <tableColumn id="2" xr3:uid="{00000000-0010-0000-0200-000002000000}" name="Cantidad ofertada" dataDxfId="27" totalsRowDxfId="26"/>
    <tableColumn id="3" xr3:uid="{00000000-0010-0000-0200-000003000000}" name="Total por renglón" totalsRowLabel="5811674,00 ARS" dataDxfId="25" totalsRowDxfId="24"/>
    <tableColumn id="4" xr3:uid="{00000000-0010-0000-0200-000004000000}" name="Especificacion técnic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T9:X76" totalsRowCount="1">
  <tableColumns count="5">
    <tableColumn id="1" xr3:uid="{00000000-0010-0000-0300-000001000000}" name="Precio unitario" totalsRowDxfId="23" dataCellStyle="Moneda"/>
    <tableColumn id="5" xr3:uid="{00000000-0010-0000-0300-000005000000}" name="Columna1" dataDxfId="22">
      <calculatedColumnFormula>IF(OR(D10=0,D10="",T10=0,T10=""),"",IF(T10&lt;=(D10*1.3),"Dentro del margen","Fuera del margen"))</calculatedColumnFormula>
    </tableColumn>
    <tableColumn id="2" xr3:uid="{00000000-0010-0000-0300-000002000000}" name="Cantidad ofertada" dataDxfId="21" totalsRowDxfId="20"/>
    <tableColumn id="3" xr3:uid="{00000000-0010-0000-0300-000003000000}" name="Total por renglón" totalsRowLabel="15694000,00 ARS" dataDxfId="19" totalsRowDxfId="18"/>
    <tableColumn id="4" xr3:uid="{00000000-0010-0000-0300-000004000000}" name="Especificacion técnic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Z9:AD76" totalsRowCount="1">
  <tableColumns count="5">
    <tableColumn id="1" xr3:uid="{00000000-0010-0000-0400-000001000000}" name="Precio unitario" totalsRowDxfId="17" dataCellStyle="Moneda"/>
    <tableColumn id="5" xr3:uid="{00000000-0010-0000-0400-000005000000}" name="Columna1" dataDxfId="16">
      <calculatedColumnFormula>IF(OR(D10=0,D10="",Z10=0,Z10=""),"",IF(Z10&lt;=(D10*1.3),"Dentro del margen","Fuera del margen"))</calculatedColumnFormula>
    </tableColumn>
    <tableColumn id="2" xr3:uid="{00000000-0010-0000-0400-000002000000}" name="Cantidad ofertada" dataDxfId="15" totalsRowDxfId="14"/>
    <tableColumn id="3" xr3:uid="{00000000-0010-0000-0400-000003000000}" name="Total por renglón" totalsRowLabel="11202700,00 ARS" dataDxfId="13" totalsRowDxfId="12"/>
    <tableColumn id="4" xr3:uid="{00000000-0010-0000-0400-000004000000}" name="Especificacion técnic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F9:AJ76" totalsRowCount="1">
  <tableColumns count="5">
    <tableColumn id="1" xr3:uid="{00000000-0010-0000-0500-000001000000}" name="Precio unitario" totalsRowDxfId="11" dataCellStyle="Moneda"/>
    <tableColumn id="5" xr3:uid="{00000000-0010-0000-0500-000005000000}" name="Columna1" dataDxfId="10">
      <calculatedColumnFormula>IF(OR(D10=0,D10="",AF10=0,AF10=""),"",IF(AF10&lt;=(D10*1.3),"Dentro del margen","Fuera del margen"))</calculatedColumnFormula>
    </tableColumn>
    <tableColumn id="2" xr3:uid="{00000000-0010-0000-0500-000002000000}" name="Cantidad ofertada" dataDxfId="9" totalsRowDxfId="8"/>
    <tableColumn id="3" xr3:uid="{00000000-0010-0000-0500-000003000000}" name="Total por renglón" totalsRowLabel="14958385,00 ARS" dataDxfId="7" totalsRowDxfId="6"/>
    <tableColumn id="4" xr3:uid="{00000000-0010-0000-0500-000004000000}" name="Especificacion técn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6"/>
  <sheetViews>
    <sheetView tabSelected="1" zoomScale="55" zoomScaleNormal="55" workbookViewId="0">
      <pane xSplit="3" ySplit="9" topLeftCell="D10" activePane="bottomRight" state="frozenSplit"/>
      <selection pane="topRight"/>
      <selection pane="bottomLeft"/>
      <selection pane="bottomRight" activeCell="E13" sqref="E13"/>
    </sheetView>
  </sheetViews>
  <sheetFormatPr baseColWidth="10" defaultColWidth="9.140625" defaultRowHeight="15" x14ac:dyDescent="0.25"/>
  <cols>
    <col min="1" max="1" width="10.5703125" customWidth="1"/>
    <col min="2" max="2" width="12.85546875" customWidth="1"/>
    <col min="3" max="3" width="15.28515625" customWidth="1"/>
    <col min="4" max="4" width="15.28515625" style="6" customWidth="1"/>
    <col min="5" max="5" width="142.42578125" bestFit="1" customWidth="1"/>
    <col min="6" max="6" width="43.140625" customWidth="1"/>
    <col min="7" max="7" width="19.7109375" customWidth="1"/>
    <col min="8" max="8" width="16.28515625" style="6" customWidth="1"/>
    <col min="9" max="9" width="16.28515625" customWidth="1"/>
    <col min="10" max="10" width="19.28515625" customWidth="1"/>
    <col min="11" max="11" width="18.5703125" customWidth="1"/>
    <col min="12" max="12" width="96.140625" customWidth="1"/>
    <col min="13" max="13" width="9.140625" customWidth="1"/>
    <col min="14" max="14" width="16.28515625" style="6" customWidth="1"/>
    <col min="15" max="15" width="16.28515625" customWidth="1"/>
    <col min="16" max="16" width="19.28515625" customWidth="1"/>
    <col min="17" max="17" width="18.5703125" customWidth="1"/>
    <col min="18" max="18" width="87.5703125" customWidth="1"/>
    <col min="19" max="19" width="9.140625" customWidth="1"/>
    <col min="20" max="20" width="16.28515625" style="6" customWidth="1"/>
    <col min="21" max="21" width="16.28515625" customWidth="1"/>
    <col min="22" max="22" width="19.28515625" customWidth="1"/>
    <col min="23" max="23" width="18.5703125" customWidth="1"/>
    <col min="24" max="24" width="65" customWidth="1"/>
    <col min="25" max="25" width="9.140625" customWidth="1"/>
    <col min="26" max="26" width="16.28515625" style="6" customWidth="1"/>
    <col min="27" max="27" width="16.28515625" customWidth="1"/>
    <col min="28" max="28" width="19.28515625" customWidth="1"/>
    <col min="29" max="29" width="18.5703125" customWidth="1"/>
    <col min="30" max="30" width="59.85546875" customWidth="1"/>
    <col min="31" max="31" width="9.140625" customWidth="1"/>
    <col min="32" max="32" width="16.28515625" style="6" customWidth="1"/>
    <col min="33" max="33" width="16.28515625" customWidth="1"/>
    <col min="34" max="34" width="19.28515625" customWidth="1"/>
    <col min="35" max="35" width="18.5703125" customWidth="1"/>
    <col min="36" max="36" width="95.85546875" customWidth="1"/>
    <col min="37" max="37" width="9.140625" customWidth="1"/>
  </cols>
  <sheetData>
    <row r="1" spans="1:37" x14ac:dyDescent="0.25">
      <c r="E1" s="1" t="s">
        <v>0</v>
      </c>
      <c r="F1" s="1" t="s">
        <v>1</v>
      </c>
    </row>
    <row r="2" spans="1:37" x14ac:dyDescent="0.25">
      <c r="E2" s="1" t="s">
        <v>2</v>
      </c>
      <c r="F2" s="1" t="s">
        <v>3</v>
      </c>
    </row>
    <row r="3" spans="1:37" x14ac:dyDescent="0.25">
      <c r="E3" s="1" t="s">
        <v>4</v>
      </c>
      <c r="F3" s="1" t="s">
        <v>5</v>
      </c>
    </row>
    <row r="4" spans="1:37" x14ac:dyDescent="0.25">
      <c r="E4" s="1" t="s">
        <v>6</v>
      </c>
      <c r="F4" s="1" t="s">
        <v>7</v>
      </c>
    </row>
    <row r="5" spans="1:37" x14ac:dyDescent="0.25">
      <c r="E5" s="1" t="s">
        <v>8</v>
      </c>
      <c r="F5" s="1" t="s">
        <v>9</v>
      </c>
    </row>
    <row r="8" spans="1:37" x14ac:dyDescent="0.25">
      <c r="A8" s="9" t="s">
        <v>10</v>
      </c>
      <c r="B8" s="9"/>
      <c r="C8" s="9"/>
      <c r="D8" s="9"/>
      <c r="E8" s="9"/>
      <c r="F8" s="9"/>
      <c r="G8" s="9"/>
      <c r="H8" s="9" t="s">
        <v>11</v>
      </c>
      <c r="I8" s="9"/>
      <c r="J8" s="9"/>
      <c r="K8" s="9"/>
      <c r="L8" s="9"/>
      <c r="M8" s="9"/>
      <c r="N8" s="9" t="s">
        <v>12</v>
      </c>
      <c r="O8" s="9"/>
      <c r="P8" s="9"/>
      <c r="Q8" s="9"/>
      <c r="R8" s="9"/>
      <c r="S8" s="9"/>
      <c r="T8" s="9" t="s">
        <v>13</v>
      </c>
      <c r="U8" s="9"/>
      <c r="V8" s="9"/>
      <c r="W8" s="9"/>
      <c r="X8" s="9"/>
      <c r="Y8" s="9"/>
      <c r="Z8" s="9" t="s">
        <v>14</v>
      </c>
      <c r="AA8" s="9"/>
      <c r="AB8" s="9"/>
      <c r="AC8" s="9"/>
      <c r="AD8" s="9"/>
      <c r="AE8" s="9"/>
      <c r="AF8" s="9" t="s">
        <v>15</v>
      </c>
      <c r="AG8" s="9"/>
      <c r="AH8" s="9"/>
      <c r="AI8" s="9"/>
      <c r="AJ8" s="9"/>
      <c r="AK8" s="9"/>
    </row>
    <row r="9" spans="1:37" x14ac:dyDescent="0.25">
      <c r="A9" t="s">
        <v>10</v>
      </c>
      <c r="B9" t="s">
        <v>16</v>
      </c>
      <c r="C9" t="s">
        <v>17</v>
      </c>
      <c r="D9" s="6" t="s">
        <v>316</v>
      </c>
      <c r="E9" t="s">
        <v>18</v>
      </c>
      <c r="F9" t="s">
        <v>19</v>
      </c>
      <c r="G9" t="s">
        <v>20</v>
      </c>
      <c r="H9" s="6" t="s">
        <v>21</v>
      </c>
      <c r="I9" s="2" t="s">
        <v>316</v>
      </c>
      <c r="J9" s="2" t="s">
        <v>22</v>
      </c>
      <c r="K9" t="s">
        <v>23</v>
      </c>
      <c r="L9" t="s">
        <v>24</v>
      </c>
      <c r="N9" s="6" t="s">
        <v>21</v>
      </c>
      <c r="O9" s="2" t="s">
        <v>316</v>
      </c>
      <c r="P9" s="2" t="s">
        <v>22</v>
      </c>
      <c r="Q9" t="s">
        <v>23</v>
      </c>
      <c r="R9" t="s">
        <v>24</v>
      </c>
      <c r="T9" s="6" t="s">
        <v>21</v>
      </c>
      <c r="U9" s="2" t="s">
        <v>316</v>
      </c>
      <c r="V9" s="2" t="s">
        <v>22</v>
      </c>
      <c r="W9" t="s">
        <v>23</v>
      </c>
      <c r="X9" t="s">
        <v>24</v>
      </c>
      <c r="Z9" s="6" t="s">
        <v>21</v>
      </c>
      <c r="AA9" s="2" t="s">
        <v>316</v>
      </c>
      <c r="AB9" s="2" t="s">
        <v>22</v>
      </c>
      <c r="AC9" t="s">
        <v>23</v>
      </c>
      <c r="AD9" t="s">
        <v>24</v>
      </c>
      <c r="AF9" s="6" t="s">
        <v>21</v>
      </c>
      <c r="AG9" s="2" t="s">
        <v>316</v>
      </c>
      <c r="AH9" s="2" t="s">
        <v>22</v>
      </c>
      <c r="AI9" t="s">
        <v>23</v>
      </c>
      <c r="AJ9" t="s">
        <v>24</v>
      </c>
    </row>
    <row r="10" spans="1:37" ht="30" x14ac:dyDescent="0.25">
      <c r="A10" t="s">
        <v>25</v>
      </c>
      <c r="B10" t="s">
        <v>25</v>
      </c>
      <c r="C10" t="s">
        <v>26</v>
      </c>
      <c r="D10" s="6">
        <v>424583</v>
      </c>
      <c r="E10" s="3" t="s">
        <v>27</v>
      </c>
      <c r="F10" s="4" t="s">
        <v>28</v>
      </c>
      <c r="G10" t="s">
        <v>29</v>
      </c>
      <c r="I10" s="2" t="str">
        <f t="shared" ref="I10:I73" si="0">IF(OR(D10=0,D10="",H10=0,H10=""),"",IF(H10&lt;=(D10*1.3),"Dentro del margen","Fuera del margen"))</f>
        <v/>
      </c>
      <c r="J10" s="2"/>
      <c r="K10" s="5"/>
      <c r="O10" s="2" t="str">
        <f t="shared" ref="O10:O41" si="1">IF(OR(D10=0,D10="",N10=0,N10=""),"",IF(N10&lt;=(D10*1.3),"Dentro del margen","Fuera del margen"))</f>
        <v/>
      </c>
      <c r="P10" s="2"/>
      <c r="Q10" s="5"/>
      <c r="U10" s="2" t="str">
        <f t="shared" ref="U10:U73" si="2">IF(OR(D10=0,D10="",T10=0,T10=""),"",IF(T10&lt;=(D10*1.3),"Dentro del margen","Fuera del margen"))</f>
        <v/>
      </c>
      <c r="V10" s="2"/>
      <c r="W10" s="5"/>
      <c r="AA10" s="2" t="str">
        <f t="shared" ref="AA10:AA73" si="3">IF(OR(D10=0,D10="",Z10=0,Z10=""),"",IF(Z10&lt;=(D10*1.3),"Dentro del margen","Fuera del margen"))</f>
        <v/>
      </c>
      <c r="AB10" s="2"/>
      <c r="AC10" s="5"/>
      <c r="AG10" s="2" t="str">
        <f t="shared" ref="AG10:AG73" si="4">IF(OR(D10=0,D10="",AF10=0,AF10=""),"",IF(AF10&lt;=(D10*1.3),"Dentro del margen","Fuera del margen"))</f>
        <v/>
      </c>
      <c r="AH10" s="2"/>
      <c r="AI10" s="5"/>
    </row>
    <row r="11" spans="1:37" ht="30" x14ac:dyDescent="0.25">
      <c r="A11" t="s">
        <v>30</v>
      </c>
      <c r="B11" t="s">
        <v>25</v>
      </c>
      <c r="C11" t="s">
        <v>31</v>
      </c>
      <c r="D11" s="6">
        <v>664314</v>
      </c>
      <c r="E11" s="3" t="s">
        <v>32</v>
      </c>
      <c r="F11" s="4" t="s">
        <v>28</v>
      </c>
      <c r="G11" t="s">
        <v>29</v>
      </c>
      <c r="I11" s="2" t="str">
        <f t="shared" si="0"/>
        <v/>
      </c>
      <c r="J11" s="2"/>
      <c r="K11" s="5"/>
      <c r="O11" s="2" t="str">
        <f t="shared" si="1"/>
        <v/>
      </c>
      <c r="P11" s="2"/>
      <c r="Q11" s="5"/>
      <c r="U11" s="2" t="str">
        <f t="shared" si="2"/>
        <v/>
      </c>
      <c r="V11" s="2"/>
      <c r="W11" s="5"/>
      <c r="AA11" s="2" t="str">
        <f t="shared" si="3"/>
        <v/>
      </c>
      <c r="AB11" s="2"/>
      <c r="AC11" s="5"/>
      <c r="AG11" s="2" t="str">
        <f t="shared" si="4"/>
        <v/>
      </c>
      <c r="AH11" s="2"/>
      <c r="AI11" s="5"/>
    </row>
    <row r="12" spans="1:37" ht="30" x14ac:dyDescent="0.25">
      <c r="A12" t="s">
        <v>33</v>
      </c>
      <c r="B12" t="s">
        <v>25</v>
      </c>
      <c r="C12" t="s">
        <v>34</v>
      </c>
      <c r="D12" s="6">
        <v>339467</v>
      </c>
      <c r="E12" s="3" t="s">
        <v>35</v>
      </c>
      <c r="F12" s="4" t="s">
        <v>28</v>
      </c>
      <c r="G12" t="s">
        <v>29</v>
      </c>
      <c r="I12" s="2" t="str">
        <f t="shared" si="0"/>
        <v/>
      </c>
      <c r="J12" s="2"/>
      <c r="K12" s="5"/>
      <c r="O12" s="2" t="str">
        <f t="shared" si="1"/>
        <v/>
      </c>
      <c r="P12" s="2"/>
      <c r="Q12" s="5"/>
      <c r="U12" s="2" t="str">
        <f t="shared" si="2"/>
        <v/>
      </c>
      <c r="V12" s="2"/>
      <c r="W12" s="5"/>
      <c r="AA12" s="2" t="str">
        <f t="shared" si="3"/>
        <v/>
      </c>
      <c r="AB12" s="2"/>
      <c r="AC12" s="5"/>
      <c r="AG12" s="2" t="str">
        <f t="shared" si="4"/>
        <v/>
      </c>
      <c r="AH12" s="2"/>
      <c r="AI12" s="5"/>
    </row>
    <row r="13" spans="1:37" ht="30" x14ac:dyDescent="0.25">
      <c r="A13" t="s">
        <v>36</v>
      </c>
      <c r="B13" t="s">
        <v>25</v>
      </c>
      <c r="C13" t="s">
        <v>37</v>
      </c>
      <c r="D13" s="6">
        <v>12942</v>
      </c>
      <c r="E13" s="3" t="s">
        <v>38</v>
      </c>
      <c r="F13" s="4" t="s">
        <v>28</v>
      </c>
      <c r="G13" s="6" t="s">
        <v>29</v>
      </c>
      <c r="H13" s="6">
        <v>21000</v>
      </c>
      <c r="I13" s="10" t="str">
        <f>IF(OR(D13=0,D13="",H13=0,H13=""),"",IF(H13&lt;=(D13*1.3),"Dentro del margen","Fuera del margen"))</f>
        <v>Fuera del margen</v>
      </c>
      <c r="J13" s="2" t="s">
        <v>39</v>
      </c>
      <c r="K13" s="5" t="s">
        <v>40</v>
      </c>
      <c r="L13" t="s">
        <v>41</v>
      </c>
      <c r="O13" s="2" t="str">
        <f t="shared" si="1"/>
        <v/>
      </c>
      <c r="P13" s="2"/>
      <c r="Q13" s="5"/>
      <c r="U13" s="2" t="str">
        <f t="shared" si="2"/>
        <v/>
      </c>
      <c r="V13" s="2"/>
      <c r="W13" s="5"/>
      <c r="AA13" s="2" t="str">
        <f t="shared" si="3"/>
        <v/>
      </c>
      <c r="AB13" s="2"/>
      <c r="AC13" s="5"/>
      <c r="AG13" s="2" t="str">
        <f t="shared" si="4"/>
        <v/>
      </c>
      <c r="AH13" s="2"/>
      <c r="AI13" s="5"/>
    </row>
    <row r="14" spans="1:37" ht="30" x14ac:dyDescent="0.25">
      <c r="A14" t="s">
        <v>42</v>
      </c>
      <c r="B14" t="s">
        <v>25</v>
      </c>
      <c r="C14" t="s">
        <v>43</v>
      </c>
      <c r="D14" s="6">
        <v>27428</v>
      </c>
      <c r="E14" s="3" t="s">
        <v>44</v>
      </c>
      <c r="F14" s="4" t="s">
        <v>45</v>
      </c>
      <c r="G14" t="s">
        <v>29</v>
      </c>
      <c r="H14" s="6">
        <v>42000</v>
      </c>
      <c r="I14" s="11" t="str">
        <f t="shared" si="0"/>
        <v>Fuera del margen</v>
      </c>
      <c r="J14" s="2" t="s">
        <v>42</v>
      </c>
      <c r="K14" s="5" t="s">
        <v>40</v>
      </c>
      <c r="L14" t="s">
        <v>46</v>
      </c>
      <c r="O14" s="2" t="str">
        <f t="shared" si="1"/>
        <v/>
      </c>
      <c r="P14" s="2"/>
      <c r="Q14" s="5"/>
      <c r="U14" s="2" t="str">
        <f t="shared" si="2"/>
        <v/>
      </c>
      <c r="V14" s="2"/>
      <c r="W14" s="5"/>
      <c r="AA14" s="2" t="str">
        <f t="shared" si="3"/>
        <v/>
      </c>
      <c r="AB14" s="2"/>
      <c r="AC14" s="5"/>
      <c r="AG14" s="2" t="str">
        <f t="shared" si="4"/>
        <v/>
      </c>
      <c r="AH14" s="2"/>
      <c r="AI14" s="5"/>
    </row>
    <row r="15" spans="1:37" ht="45" x14ac:dyDescent="0.25">
      <c r="A15" s="12" t="s">
        <v>47</v>
      </c>
      <c r="B15" t="s">
        <v>25</v>
      </c>
      <c r="C15" t="s">
        <v>48</v>
      </c>
      <c r="D15" s="6">
        <v>170095</v>
      </c>
      <c r="E15" s="3" t="s">
        <v>49</v>
      </c>
      <c r="F15" s="4" t="s">
        <v>28</v>
      </c>
      <c r="G15" t="s">
        <v>29</v>
      </c>
      <c r="H15" s="6">
        <v>31000</v>
      </c>
      <c r="I15" s="2" t="str">
        <f t="shared" si="0"/>
        <v>Dentro del margen</v>
      </c>
      <c r="J15" s="2" t="s">
        <v>39</v>
      </c>
      <c r="K15" s="5" t="s">
        <v>50</v>
      </c>
      <c r="L15" s="3" t="s">
        <v>51</v>
      </c>
      <c r="N15" s="6">
        <v>219237</v>
      </c>
      <c r="O15" s="2" t="str">
        <f t="shared" si="1"/>
        <v>Dentro del margen</v>
      </c>
      <c r="P15" s="2" t="s">
        <v>39</v>
      </c>
      <c r="Q15" s="5" t="s">
        <v>52</v>
      </c>
      <c r="R15" s="3" t="s">
        <v>53</v>
      </c>
      <c r="U15" s="2" t="str">
        <f t="shared" si="2"/>
        <v/>
      </c>
      <c r="V15" s="2"/>
      <c r="W15" s="5"/>
      <c r="AA15" s="2" t="str">
        <f t="shared" si="3"/>
        <v/>
      </c>
      <c r="AB15" s="2"/>
      <c r="AC15" s="5"/>
      <c r="AG15" s="2" t="str">
        <f t="shared" si="4"/>
        <v/>
      </c>
      <c r="AH15" s="2"/>
      <c r="AI15" s="5"/>
    </row>
    <row r="16" spans="1:37" ht="45" x14ac:dyDescent="0.25">
      <c r="A16" t="s">
        <v>47</v>
      </c>
      <c r="B16" t="s">
        <v>30</v>
      </c>
      <c r="C16" t="s">
        <v>48</v>
      </c>
      <c r="D16" s="6">
        <v>170095</v>
      </c>
      <c r="E16" s="3" t="s">
        <v>49</v>
      </c>
      <c r="F16" s="4" t="s">
        <v>28</v>
      </c>
      <c r="G16" t="s">
        <v>29</v>
      </c>
      <c r="I16" s="2" t="str">
        <f t="shared" si="0"/>
        <v/>
      </c>
      <c r="J16" s="2"/>
      <c r="K16" s="5"/>
      <c r="N16" s="6">
        <v>324898</v>
      </c>
      <c r="O16" s="11" t="str">
        <f t="shared" si="1"/>
        <v>Fuera del margen</v>
      </c>
      <c r="P16" s="2" t="s">
        <v>39</v>
      </c>
      <c r="Q16" s="5" t="s">
        <v>54</v>
      </c>
      <c r="R16" s="3" t="s">
        <v>55</v>
      </c>
      <c r="U16" s="2" t="str">
        <f t="shared" si="2"/>
        <v/>
      </c>
      <c r="V16" s="2"/>
      <c r="W16" s="5"/>
      <c r="AA16" s="2" t="str">
        <f t="shared" si="3"/>
        <v/>
      </c>
      <c r="AB16" s="2"/>
      <c r="AC16" s="5"/>
      <c r="AG16" s="2" t="str">
        <f t="shared" si="4"/>
        <v/>
      </c>
      <c r="AH16" s="2"/>
      <c r="AI16" s="5"/>
    </row>
    <row r="17" spans="1:36" ht="60" x14ac:dyDescent="0.25">
      <c r="A17" t="s">
        <v>56</v>
      </c>
      <c r="B17" t="s">
        <v>25</v>
      </c>
      <c r="C17" t="s">
        <v>57</v>
      </c>
      <c r="D17" s="6">
        <v>218895</v>
      </c>
      <c r="E17" s="3" t="s">
        <v>58</v>
      </c>
      <c r="F17" s="4" t="s">
        <v>59</v>
      </c>
      <c r="G17" t="s">
        <v>29</v>
      </c>
      <c r="H17" s="6">
        <v>440000</v>
      </c>
      <c r="I17" s="11" t="str">
        <f t="shared" si="0"/>
        <v>Fuera del margen</v>
      </c>
      <c r="J17" s="2" t="s">
        <v>33</v>
      </c>
      <c r="K17" s="5" t="s">
        <v>60</v>
      </c>
      <c r="L17" t="s">
        <v>61</v>
      </c>
      <c r="N17" s="6">
        <v>695898</v>
      </c>
      <c r="O17" s="11" t="str">
        <f t="shared" si="1"/>
        <v>Fuera del margen</v>
      </c>
      <c r="P17" s="2" t="s">
        <v>33</v>
      </c>
      <c r="Q17" s="5" t="s">
        <v>62</v>
      </c>
      <c r="R17" s="3" t="s">
        <v>63</v>
      </c>
      <c r="U17" s="2" t="str">
        <f t="shared" si="2"/>
        <v/>
      </c>
      <c r="V17" s="2"/>
      <c r="W17" s="5"/>
      <c r="AA17" s="2" t="str">
        <f t="shared" si="3"/>
        <v/>
      </c>
      <c r="AB17" s="2"/>
      <c r="AC17" s="5"/>
      <c r="AG17" s="2" t="str">
        <f t="shared" si="4"/>
        <v/>
      </c>
      <c r="AH17" s="2"/>
      <c r="AI17" s="5"/>
    </row>
    <row r="18" spans="1:36" ht="30" x14ac:dyDescent="0.25">
      <c r="A18" t="s">
        <v>64</v>
      </c>
      <c r="B18" t="s">
        <v>25</v>
      </c>
      <c r="C18" t="s">
        <v>65</v>
      </c>
      <c r="D18" s="6">
        <v>45000</v>
      </c>
      <c r="E18" s="3" t="s">
        <v>66</v>
      </c>
      <c r="F18" s="4" t="s">
        <v>45</v>
      </c>
      <c r="G18" t="s">
        <v>29</v>
      </c>
      <c r="H18" s="6">
        <v>329000</v>
      </c>
      <c r="I18" s="10" t="str">
        <f t="shared" si="0"/>
        <v>Fuera del margen</v>
      </c>
      <c r="J18">
        <v>5</v>
      </c>
      <c r="K18">
        <v>1645000</v>
      </c>
      <c r="L18" t="s">
        <v>67</v>
      </c>
      <c r="O18" s="2" t="str">
        <f t="shared" si="1"/>
        <v/>
      </c>
      <c r="P18" s="2"/>
      <c r="Q18" s="5"/>
      <c r="U18" s="2" t="str">
        <f t="shared" si="2"/>
        <v/>
      </c>
      <c r="V18" s="2"/>
      <c r="W18" s="5"/>
      <c r="AA18" s="2" t="str">
        <f t="shared" si="3"/>
        <v/>
      </c>
      <c r="AB18" s="2"/>
      <c r="AC18" s="5"/>
      <c r="AG18" s="2" t="str">
        <f t="shared" si="4"/>
        <v/>
      </c>
      <c r="AH18" s="2"/>
      <c r="AI18" s="5"/>
    </row>
    <row r="19" spans="1:36" ht="30" x14ac:dyDescent="0.25">
      <c r="A19" t="s">
        <v>68</v>
      </c>
      <c r="B19" t="s">
        <v>25</v>
      </c>
      <c r="C19" t="s">
        <v>69</v>
      </c>
      <c r="D19" s="6">
        <v>26000</v>
      </c>
      <c r="E19" s="3" t="s">
        <v>70</v>
      </c>
      <c r="F19" s="4" t="s">
        <v>71</v>
      </c>
      <c r="G19" t="s">
        <v>29</v>
      </c>
      <c r="I19" s="2" t="str">
        <f t="shared" si="0"/>
        <v/>
      </c>
      <c r="J19" s="2"/>
      <c r="K19" s="5"/>
      <c r="O19" s="2" t="str">
        <f t="shared" si="1"/>
        <v/>
      </c>
      <c r="P19" s="2"/>
      <c r="Q19" s="5"/>
      <c r="U19" s="2" t="str">
        <f t="shared" si="2"/>
        <v/>
      </c>
      <c r="V19" s="2"/>
      <c r="W19" s="5"/>
      <c r="AA19" s="2" t="str">
        <f t="shared" si="3"/>
        <v/>
      </c>
      <c r="AB19" s="2"/>
      <c r="AC19" s="5"/>
      <c r="AG19" s="2" t="str">
        <f t="shared" si="4"/>
        <v/>
      </c>
      <c r="AH19" s="2"/>
      <c r="AI19" s="5"/>
    </row>
    <row r="20" spans="1:36" ht="30" x14ac:dyDescent="0.25">
      <c r="A20" t="s">
        <v>39</v>
      </c>
      <c r="B20" t="s">
        <v>25</v>
      </c>
      <c r="C20" t="s">
        <v>72</v>
      </c>
      <c r="D20" s="6">
        <v>677</v>
      </c>
      <c r="E20" s="3" t="s">
        <v>73</v>
      </c>
      <c r="F20" s="4" t="s">
        <v>74</v>
      </c>
      <c r="G20" t="s">
        <v>29</v>
      </c>
      <c r="I20" s="2" t="str">
        <f t="shared" si="0"/>
        <v/>
      </c>
      <c r="J20" s="2"/>
      <c r="K20" s="5"/>
      <c r="O20" s="2" t="str">
        <f t="shared" si="1"/>
        <v/>
      </c>
      <c r="P20" s="2"/>
      <c r="Q20" s="5"/>
      <c r="U20" s="2" t="str">
        <f t="shared" si="2"/>
        <v/>
      </c>
      <c r="V20" s="2"/>
      <c r="W20" s="5"/>
      <c r="AA20" s="2" t="str">
        <f t="shared" si="3"/>
        <v/>
      </c>
      <c r="AB20" s="2"/>
      <c r="AC20" s="5"/>
      <c r="AG20" s="2" t="str">
        <f t="shared" si="4"/>
        <v/>
      </c>
      <c r="AH20" s="2"/>
      <c r="AI20" s="5"/>
    </row>
    <row r="21" spans="1:36" ht="30" x14ac:dyDescent="0.25">
      <c r="A21" t="s">
        <v>75</v>
      </c>
      <c r="B21" t="s">
        <v>25</v>
      </c>
      <c r="C21" t="s">
        <v>76</v>
      </c>
      <c r="D21" s="6">
        <v>3350</v>
      </c>
      <c r="E21" s="3" t="s">
        <v>77</v>
      </c>
      <c r="F21" s="4" t="s">
        <v>78</v>
      </c>
      <c r="G21" t="s">
        <v>29</v>
      </c>
      <c r="I21" s="2" t="str">
        <f t="shared" si="0"/>
        <v/>
      </c>
      <c r="J21" s="2"/>
      <c r="K21" s="5"/>
      <c r="O21" s="2" t="str">
        <f t="shared" si="1"/>
        <v/>
      </c>
      <c r="P21" s="2"/>
      <c r="Q21" s="5"/>
      <c r="U21" s="2" t="str">
        <f t="shared" si="2"/>
        <v/>
      </c>
      <c r="V21" s="2"/>
      <c r="W21" s="5"/>
      <c r="AA21" s="2" t="str">
        <f t="shared" si="3"/>
        <v/>
      </c>
      <c r="AB21" s="2"/>
      <c r="AC21" s="5"/>
      <c r="AG21" s="2" t="str">
        <f t="shared" si="4"/>
        <v/>
      </c>
      <c r="AH21" s="2"/>
      <c r="AI21" s="5"/>
    </row>
    <row r="22" spans="1:36" ht="30" x14ac:dyDescent="0.25">
      <c r="A22" t="s">
        <v>79</v>
      </c>
      <c r="B22" t="s">
        <v>25</v>
      </c>
      <c r="C22" t="s">
        <v>80</v>
      </c>
      <c r="D22" s="6">
        <v>760</v>
      </c>
      <c r="E22" s="3" t="s">
        <v>81</v>
      </c>
      <c r="F22" s="4" t="s">
        <v>78</v>
      </c>
      <c r="G22" t="s">
        <v>29</v>
      </c>
      <c r="I22" s="2" t="str">
        <f t="shared" si="0"/>
        <v/>
      </c>
      <c r="J22" s="2"/>
      <c r="K22" s="5"/>
      <c r="O22" s="2" t="str">
        <f t="shared" si="1"/>
        <v/>
      </c>
      <c r="P22" s="2"/>
      <c r="Q22" s="5"/>
      <c r="U22" s="2" t="str">
        <f t="shared" si="2"/>
        <v/>
      </c>
      <c r="V22" s="2"/>
      <c r="W22" s="5"/>
      <c r="AA22" s="2" t="str">
        <f t="shared" si="3"/>
        <v/>
      </c>
      <c r="AB22" s="2"/>
      <c r="AC22" s="5"/>
      <c r="AG22" s="2" t="str">
        <f t="shared" si="4"/>
        <v/>
      </c>
      <c r="AH22" s="2"/>
      <c r="AI22" s="5"/>
    </row>
    <row r="23" spans="1:36" ht="30" x14ac:dyDescent="0.25">
      <c r="A23" t="s">
        <v>82</v>
      </c>
      <c r="B23" t="s">
        <v>25</v>
      </c>
      <c r="C23" t="s">
        <v>83</v>
      </c>
      <c r="D23" s="6">
        <v>70</v>
      </c>
      <c r="E23" s="3" t="s">
        <v>84</v>
      </c>
      <c r="F23" s="4" t="s">
        <v>78</v>
      </c>
      <c r="G23" t="s">
        <v>29</v>
      </c>
      <c r="I23" s="2" t="str">
        <f t="shared" si="0"/>
        <v/>
      </c>
      <c r="J23" s="2"/>
      <c r="K23" s="5"/>
      <c r="O23" s="2" t="str">
        <f t="shared" si="1"/>
        <v/>
      </c>
      <c r="P23" s="2"/>
      <c r="Q23" s="5"/>
      <c r="U23" s="2" t="str">
        <f t="shared" si="2"/>
        <v/>
      </c>
      <c r="V23" s="2"/>
      <c r="W23" s="5"/>
      <c r="AA23" s="2" t="str">
        <f t="shared" si="3"/>
        <v/>
      </c>
      <c r="AB23" s="2"/>
      <c r="AC23" s="5"/>
      <c r="AG23" s="2" t="str">
        <f t="shared" si="4"/>
        <v/>
      </c>
      <c r="AH23" s="2"/>
      <c r="AI23" s="5"/>
    </row>
    <row r="24" spans="1:36" ht="30" x14ac:dyDescent="0.25">
      <c r="A24" t="s">
        <v>85</v>
      </c>
      <c r="B24" t="s">
        <v>25</v>
      </c>
      <c r="C24" t="s">
        <v>86</v>
      </c>
      <c r="D24" s="6">
        <v>1034</v>
      </c>
      <c r="E24" s="3" t="s">
        <v>87</v>
      </c>
      <c r="F24" s="4" t="s">
        <v>45</v>
      </c>
      <c r="G24" t="s">
        <v>29</v>
      </c>
      <c r="I24" s="2" t="str">
        <f t="shared" si="0"/>
        <v/>
      </c>
      <c r="J24" s="2"/>
      <c r="K24" s="5"/>
      <c r="O24" s="2" t="str">
        <f t="shared" si="1"/>
        <v/>
      </c>
      <c r="P24" s="2"/>
      <c r="Q24" s="5"/>
      <c r="U24" s="2" t="str">
        <f t="shared" si="2"/>
        <v/>
      </c>
      <c r="V24" s="2"/>
      <c r="W24" s="5"/>
      <c r="AA24" s="2" t="str">
        <f t="shared" si="3"/>
        <v/>
      </c>
      <c r="AB24" s="2"/>
      <c r="AC24" s="5"/>
      <c r="AG24" s="2" t="str">
        <f t="shared" si="4"/>
        <v/>
      </c>
      <c r="AH24" s="2"/>
      <c r="AI24" s="5"/>
    </row>
    <row r="25" spans="1:36" ht="30" x14ac:dyDescent="0.25">
      <c r="A25" t="s">
        <v>88</v>
      </c>
      <c r="B25" t="s">
        <v>25</v>
      </c>
      <c r="C25" t="s">
        <v>89</v>
      </c>
      <c r="D25" s="6">
        <v>8650</v>
      </c>
      <c r="E25" s="3" t="s">
        <v>90</v>
      </c>
      <c r="F25" s="4" t="s">
        <v>71</v>
      </c>
      <c r="G25" t="s">
        <v>29</v>
      </c>
      <c r="I25" s="2" t="str">
        <f t="shared" si="0"/>
        <v/>
      </c>
      <c r="J25" s="2"/>
      <c r="K25" s="5"/>
      <c r="O25" s="2" t="str">
        <f t="shared" si="1"/>
        <v/>
      </c>
      <c r="P25" s="2"/>
      <c r="Q25" s="5"/>
      <c r="U25" s="2" t="str">
        <f t="shared" si="2"/>
        <v/>
      </c>
      <c r="V25" s="2"/>
      <c r="W25" s="5"/>
      <c r="AA25" s="2" t="str">
        <f t="shared" si="3"/>
        <v/>
      </c>
      <c r="AB25" s="2"/>
      <c r="AC25" s="5"/>
      <c r="AG25" s="2" t="str">
        <f t="shared" si="4"/>
        <v/>
      </c>
      <c r="AH25" s="2"/>
      <c r="AI25" s="5"/>
    </row>
    <row r="26" spans="1:36" ht="30" x14ac:dyDescent="0.25">
      <c r="A26" t="s">
        <v>91</v>
      </c>
      <c r="B26" t="s">
        <v>25</v>
      </c>
      <c r="C26" t="s">
        <v>92</v>
      </c>
      <c r="D26" s="6">
        <v>307</v>
      </c>
      <c r="E26" s="3" t="s">
        <v>93</v>
      </c>
      <c r="F26" s="4" t="s">
        <v>94</v>
      </c>
      <c r="G26" t="s">
        <v>29</v>
      </c>
      <c r="H26" s="6">
        <v>30800</v>
      </c>
      <c r="I26" s="10" t="str">
        <f t="shared" si="0"/>
        <v>Fuera del margen</v>
      </c>
      <c r="J26" s="2" t="s">
        <v>95</v>
      </c>
      <c r="K26" s="5" t="s">
        <v>96</v>
      </c>
      <c r="L26" t="s">
        <v>97</v>
      </c>
      <c r="O26" s="2" t="str">
        <f t="shared" si="1"/>
        <v/>
      </c>
      <c r="P26" s="2"/>
      <c r="Q26" s="5"/>
      <c r="T26" s="6">
        <v>34990</v>
      </c>
      <c r="U26" s="10" t="str">
        <f t="shared" si="2"/>
        <v>Fuera del margen</v>
      </c>
      <c r="V26" s="2" t="s">
        <v>95</v>
      </c>
      <c r="W26" s="5" t="s">
        <v>98</v>
      </c>
      <c r="X26" s="3" t="s">
        <v>99</v>
      </c>
      <c r="Z26" s="6">
        <v>25255</v>
      </c>
      <c r="AA26" s="10" t="str">
        <f t="shared" si="3"/>
        <v>Fuera del margen</v>
      </c>
      <c r="AB26" s="2" t="s">
        <v>95</v>
      </c>
      <c r="AC26" s="5" t="s">
        <v>100</v>
      </c>
      <c r="AD26" s="3" t="s">
        <v>101</v>
      </c>
      <c r="AF26" s="6">
        <v>32425</v>
      </c>
      <c r="AG26" s="10" t="str">
        <f t="shared" si="4"/>
        <v>Fuera del margen</v>
      </c>
      <c r="AH26" s="2" t="s">
        <v>95</v>
      </c>
      <c r="AI26" s="5" t="s">
        <v>102</v>
      </c>
      <c r="AJ26" s="3" t="s">
        <v>103</v>
      </c>
    </row>
    <row r="27" spans="1:36" ht="30" x14ac:dyDescent="0.25">
      <c r="A27" t="s">
        <v>104</v>
      </c>
      <c r="B27" t="s">
        <v>25</v>
      </c>
      <c r="C27" t="s">
        <v>105</v>
      </c>
      <c r="D27" s="6">
        <v>307</v>
      </c>
      <c r="E27" s="3" t="s">
        <v>106</v>
      </c>
      <c r="F27" s="4" t="s">
        <v>94</v>
      </c>
      <c r="G27" t="s">
        <v>29</v>
      </c>
      <c r="H27" s="6">
        <v>30800</v>
      </c>
      <c r="I27" s="10" t="str">
        <f t="shared" si="0"/>
        <v>Fuera del margen</v>
      </c>
      <c r="J27" s="2" t="s">
        <v>95</v>
      </c>
      <c r="K27" s="5" t="s">
        <v>96</v>
      </c>
      <c r="L27" t="s">
        <v>107</v>
      </c>
      <c r="O27" s="2" t="str">
        <f t="shared" si="1"/>
        <v/>
      </c>
      <c r="P27" s="2"/>
      <c r="Q27" s="5"/>
      <c r="T27" s="6">
        <v>34990</v>
      </c>
      <c r="U27" s="10" t="str">
        <f t="shared" si="2"/>
        <v>Fuera del margen</v>
      </c>
      <c r="V27" s="2" t="s">
        <v>95</v>
      </c>
      <c r="W27" s="5" t="s">
        <v>98</v>
      </c>
      <c r="X27" s="3" t="s">
        <v>108</v>
      </c>
      <c r="Z27" s="6">
        <v>25255</v>
      </c>
      <c r="AA27" s="10" t="str">
        <f t="shared" si="3"/>
        <v>Fuera del margen</v>
      </c>
      <c r="AB27" s="2" t="s">
        <v>95</v>
      </c>
      <c r="AC27" s="5" t="s">
        <v>100</v>
      </c>
      <c r="AD27" s="3" t="s">
        <v>109</v>
      </c>
      <c r="AF27" s="6">
        <v>32425</v>
      </c>
      <c r="AG27" s="10" t="str">
        <f t="shared" si="4"/>
        <v>Fuera del margen</v>
      </c>
      <c r="AH27" s="2" t="s">
        <v>95</v>
      </c>
      <c r="AI27" s="5" t="s">
        <v>102</v>
      </c>
      <c r="AJ27" t="s">
        <v>110</v>
      </c>
    </row>
    <row r="28" spans="1:36" ht="30" x14ac:dyDescent="0.25">
      <c r="A28" t="s">
        <v>111</v>
      </c>
      <c r="B28" t="s">
        <v>25</v>
      </c>
      <c r="C28" t="s">
        <v>112</v>
      </c>
      <c r="D28" s="6">
        <v>307</v>
      </c>
      <c r="E28" s="3" t="s">
        <v>113</v>
      </c>
      <c r="F28" s="4" t="s">
        <v>94</v>
      </c>
      <c r="G28" t="s">
        <v>29</v>
      </c>
      <c r="H28" s="6">
        <v>30800</v>
      </c>
      <c r="I28" s="10" t="str">
        <f t="shared" si="0"/>
        <v>Fuera del margen</v>
      </c>
      <c r="J28" s="2" t="s">
        <v>95</v>
      </c>
      <c r="K28" s="5" t="s">
        <v>96</v>
      </c>
      <c r="L28" t="s">
        <v>114</v>
      </c>
      <c r="O28" s="2" t="str">
        <f t="shared" si="1"/>
        <v/>
      </c>
      <c r="P28" s="2"/>
      <c r="Q28" s="5"/>
      <c r="T28" s="6">
        <v>34990</v>
      </c>
      <c r="U28" s="10" t="str">
        <f t="shared" si="2"/>
        <v>Fuera del margen</v>
      </c>
      <c r="V28" s="2" t="s">
        <v>95</v>
      </c>
      <c r="W28" s="5" t="s">
        <v>98</v>
      </c>
      <c r="X28" s="3" t="s">
        <v>115</v>
      </c>
      <c r="Z28" s="6">
        <v>25255</v>
      </c>
      <c r="AA28" s="10" t="str">
        <f t="shared" si="3"/>
        <v>Fuera del margen</v>
      </c>
      <c r="AB28" s="2" t="s">
        <v>95</v>
      </c>
      <c r="AC28" s="5" t="s">
        <v>100</v>
      </c>
      <c r="AD28" s="3" t="s">
        <v>116</v>
      </c>
      <c r="AF28" s="6">
        <v>32425</v>
      </c>
      <c r="AG28" s="10" t="str">
        <f t="shared" si="4"/>
        <v>Fuera del margen</v>
      </c>
      <c r="AH28" s="2" t="s">
        <v>95</v>
      </c>
      <c r="AI28" s="5" t="s">
        <v>102</v>
      </c>
      <c r="AJ28" s="3" t="s">
        <v>117</v>
      </c>
    </row>
    <row r="29" spans="1:36" ht="30" x14ac:dyDescent="0.25">
      <c r="A29" t="s">
        <v>118</v>
      </c>
      <c r="B29" t="s">
        <v>25</v>
      </c>
      <c r="C29" t="s">
        <v>119</v>
      </c>
      <c r="D29" s="6">
        <v>307</v>
      </c>
      <c r="E29" s="3" t="s">
        <v>120</v>
      </c>
      <c r="F29" s="4" t="s">
        <v>94</v>
      </c>
      <c r="G29" t="s">
        <v>29</v>
      </c>
      <c r="H29" s="6">
        <v>30800</v>
      </c>
      <c r="I29" s="10" t="str">
        <f t="shared" si="0"/>
        <v>Fuera del margen</v>
      </c>
      <c r="J29" s="2" t="s">
        <v>95</v>
      </c>
      <c r="K29" s="5" t="s">
        <v>96</v>
      </c>
      <c r="L29" t="s">
        <v>121</v>
      </c>
      <c r="O29" s="2" t="str">
        <f t="shared" si="1"/>
        <v/>
      </c>
      <c r="P29" s="2"/>
      <c r="Q29" s="5"/>
      <c r="T29" s="6">
        <v>34990</v>
      </c>
      <c r="U29" s="10" t="str">
        <f t="shared" si="2"/>
        <v>Fuera del margen</v>
      </c>
      <c r="V29" s="2" t="s">
        <v>95</v>
      </c>
      <c r="W29" s="5" t="s">
        <v>98</v>
      </c>
      <c r="X29" s="3" t="s">
        <v>122</v>
      </c>
      <c r="Z29" s="6">
        <v>25255</v>
      </c>
      <c r="AA29" s="10" t="str">
        <f t="shared" si="3"/>
        <v>Fuera del margen</v>
      </c>
      <c r="AB29" s="2" t="s">
        <v>95</v>
      </c>
      <c r="AC29" s="5" t="s">
        <v>100</v>
      </c>
      <c r="AD29" t="s">
        <v>123</v>
      </c>
      <c r="AF29" s="6">
        <v>32425</v>
      </c>
      <c r="AG29" s="10" t="str">
        <f t="shared" si="4"/>
        <v>Fuera del margen</v>
      </c>
      <c r="AH29" s="2" t="s">
        <v>95</v>
      </c>
      <c r="AI29" s="5" t="s">
        <v>102</v>
      </c>
      <c r="AJ29" s="3" t="s">
        <v>124</v>
      </c>
    </row>
    <row r="30" spans="1:36" ht="45" x14ac:dyDescent="0.25">
      <c r="A30" s="12" t="s">
        <v>125</v>
      </c>
      <c r="B30" t="s">
        <v>25</v>
      </c>
      <c r="C30" t="s">
        <v>126</v>
      </c>
      <c r="D30" s="6">
        <v>235</v>
      </c>
      <c r="E30" s="3" t="s">
        <v>127</v>
      </c>
      <c r="F30" s="4" t="s">
        <v>128</v>
      </c>
      <c r="G30" t="s">
        <v>29</v>
      </c>
      <c r="H30" s="6">
        <v>500</v>
      </c>
      <c r="I30" s="2" t="str">
        <f t="shared" si="0"/>
        <v>Fuera del margen</v>
      </c>
      <c r="J30" s="2" t="s">
        <v>129</v>
      </c>
      <c r="K30" s="5" t="s">
        <v>130</v>
      </c>
      <c r="L30" s="3" t="s">
        <v>131</v>
      </c>
      <c r="N30" s="6">
        <v>372</v>
      </c>
      <c r="O30" s="2" t="str">
        <f t="shared" si="1"/>
        <v>Fuera del margen</v>
      </c>
      <c r="P30" s="2" t="s">
        <v>129</v>
      </c>
      <c r="Q30" s="5" t="s">
        <v>132</v>
      </c>
      <c r="R30" s="3" t="s">
        <v>133</v>
      </c>
      <c r="U30" s="2" t="str">
        <f t="shared" si="2"/>
        <v/>
      </c>
      <c r="V30" s="2"/>
      <c r="W30" s="5"/>
      <c r="AA30" s="2" t="str">
        <f t="shared" si="3"/>
        <v/>
      </c>
      <c r="AB30" s="2"/>
      <c r="AC30" s="5"/>
      <c r="AF30" s="6">
        <v>223</v>
      </c>
      <c r="AG30" s="2" t="str">
        <f t="shared" si="4"/>
        <v>Dentro del margen</v>
      </c>
      <c r="AH30" s="2" t="s">
        <v>129</v>
      </c>
      <c r="AI30" s="5" t="s">
        <v>134</v>
      </c>
      <c r="AJ30" s="3" t="s">
        <v>135</v>
      </c>
    </row>
    <row r="31" spans="1:36" ht="45" x14ac:dyDescent="0.25">
      <c r="A31" s="12" t="s">
        <v>136</v>
      </c>
      <c r="B31" t="s">
        <v>25</v>
      </c>
      <c r="C31" t="s">
        <v>137</v>
      </c>
      <c r="D31" s="6">
        <v>285</v>
      </c>
      <c r="E31" s="3" t="s">
        <v>138</v>
      </c>
      <c r="F31" s="4" t="s">
        <v>128</v>
      </c>
      <c r="G31" t="s">
        <v>29</v>
      </c>
      <c r="H31" s="6">
        <v>500</v>
      </c>
      <c r="I31" s="2" t="str">
        <f t="shared" si="0"/>
        <v>Fuera del margen</v>
      </c>
      <c r="J31" s="2" t="s">
        <v>129</v>
      </c>
      <c r="K31" s="5" t="s">
        <v>130</v>
      </c>
      <c r="L31" s="3" t="s">
        <v>139</v>
      </c>
      <c r="N31" s="6">
        <v>578</v>
      </c>
      <c r="O31" s="2" t="str">
        <f t="shared" si="1"/>
        <v>Fuera del margen</v>
      </c>
      <c r="P31" s="2" t="s">
        <v>129</v>
      </c>
      <c r="Q31" s="5" t="s">
        <v>140</v>
      </c>
      <c r="R31" s="3" t="s">
        <v>141</v>
      </c>
      <c r="U31" s="2" t="str">
        <f t="shared" si="2"/>
        <v/>
      </c>
      <c r="V31" s="2"/>
      <c r="W31" s="5"/>
      <c r="AA31" s="2" t="str">
        <f t="shared" si="3"/>
        <v/>
      </c>
      <c r="AB31" s="2"/>
      <c r="AC31" s="5"/>
      <c r="AF31" s="6">
        <v>322</v>
      </c>
      <c r="AG31" s="2" t="str">
        <f t="shared" si="4"/>
        <v>Dentro del margen</v>
      </c>
      <c r="AH31" s="2" t="s">
        <v>129</v>
      </c>
      <c r="AI31" s="5" t="s">
        <v>142</v>
      </c>
      <c r="AJ31" s="3" t="s">
        <v>143</v>
      </c>
    </row>
    <row r="32" spans="1:36" ht="45" x14ac:dyDescent="0.25">
      <c r="A32" t="s">
        <v>144</v>
      </c>
      <c r="B32" t="s">
        <v>25</v>
      </c>
      <c r="C32" t="s">
        <v>145</v>
      </c>
      <c r="D32" s="6">
        <v>479</v>
      </c>
      <c r="E32" s="3" t="s">
        <v>146</v>
      </c>
      <c r="F32" s="4" t="s">
        <v>147</v>
      </c>
      <c r="G32" t="s">
        <v>29</v>
      </c>
      <c r="H32" s="6">
        <v>239</v>
      </c>
      <c r="I32" s="2" t="str">
        <f t="shared" si="0"/>
        <v>Dentro del margen</v>
      </c>
      <c r="J32" s="2" t="s">
        <v>148</v>
      </c>
      <c r="K32" s="5" t="s">
        <v>149</v>
      </c>
      <c r="L32" t="s">
        <v>150</v>
      </c>
      <c r="O32" s="2" t="str">
        <f t="shared" si="1"/>
        <v/>
      </c>
      <c r="P32" s="2"/>
      <c r="Q32" s="5"/>
      <c r="T32" s="6">
        <v>1415</v>
      </c>
      <c r="U32" s="2" t="str">
        <f t="shared" si="2"/>
        <v>Fuera del margen</v>
      </c>
      <c r="V32" s="2" t="s">
        <v>148</v>
      </c>
      <c r="W32" s="5" t="s">
        <v>151</v>
      </c>
      <c r="X32" s="3" t="s">
        <v>152</v>
      </c>
      <c r="Z32" s="6">
        <v>847</v>
      </c>
      <c r="AA32" s="2" t="str">
        <f t="shared" si="3"/>
        <v>Fuera del margen</v>
      </c>
      <c r="AB32" s="2" t="s">
        <v>148</v>
      </c>
      <c r="AC32" s="5" t="s">
        <v>153</v>
      </c>
      <c r="AD32" s="3" t="s">
        <v>154</v>
      </c>
      <c r="AF32" s="6">
        <v>1209</v>
      </c>
      <c r="AG32" s="2" t="str">
        <f t="shared" si="4"/>
        <v>Fuera del margen</v>
      </c>
      <c r="AH32" s="2" t="s">
        <v>148</v>
      </c>
      <c r="AI32" s="5" t="s">
        <v>155</v>
      </c>
      <c r="AJ32" s="3" t="s">
        <v>156</v>
      </c>
    </row>
    <row r="33" spans="1:36" ht="30" x14ac:dyDescent="0.25">
      <c r="A33" s="12" t="s">
        <v>157</v>
      </c>
      <c r="B33" t="s">
        <v>25</v>
      </c>
      <c r="C33" t="s">
        <v>158</v>
      </c>
      <c r="D33" s="6">
        <v>3750</v>
      </c>
      <c r="E33" s="3" t="s">
        <v>159</v>
      </c>
      <c r="F33" s="4" t="s">
        <v>45</v>
      </c>
      <c r="G33" t="s">
        <v>29</v>
      </c>
      <c r="H33" s="6">
        <v>27000</v>
      </c>
      <c r="I33" s="2" t="str">
        <f t="shared" si="0"/>
        <v>Fuera del margen</v>
      </c>
      <c r="J33" s="2" t="s">
        <v>42</v>
      </c>
      <c r="K33" s="5" t="s">
        <v>160</v>
      </c>
      <c r="L33" s="3" t="s">
        <v>161</v>
      </c>
      <c r="O33" s="2" t="str">
        <f t="shared" si="1"/>
        <v/>
      </c>
      <c r="P33" s="2"/>
      <c r="Q33" s="5"/>
      <c r="U33" s="2" t="str">
        <f t="shared" si="2"/>
        <v/>
      </c>
      <c r="V33" s="2"/>
      <c r="W33" s="5"/>
      <c r="Z33" s="6">
        <v>2723</v>
      </c>
      <c r="AA33" s="2" t="str">
        <f t="shared" si="3"/>
        <v>Dentro del margen</v>
      </c>
      <c r="AB33" s="2" t="s">
        <v>42</v>
      </c>
      <c r="AC33" s="5" t="s">
        <v>162</v>
      </c>
      <c r="AD33" s="3" t="s">
        <v>163</v>
      </c>
      <c r="AF33" s="6">
        <v>3797</v>
      </c>
      <c r="AG33" s="2" t="str">
        <f t="shared" si="4"/>
        <v>Dentro del margen</v>
      </c>
      <c r="AH33" s="2" t="s">
        <v>42</v>
      </c>
      <c r="AI33" s="5" t="s">
        <v>164</v>
      </c>
      <c r="AJ33" s="3" t="s">
        <v>165</v>
      </c>
    </row>
    <row r="34" spans="1:36" ht="30" x14ac:dyDescent="0.25">
      <c r="A34" s="12" t="s">
        <v>166</v>
      </c>
      <c r="B34" t="s">
        <v>25</v>
      </c>
      <c r="C34" t="s">
        <v>167</v>
      </c>
      <c r="D34" s="6">
        <v>3275</v>
      </c>
      <c r="E34" s="3" t="s">
        <v>168</v>
      </c>
      <c r="F34" s="4" t="s">
        <v>45</v>
      </c>
      <c r="G34" t="s">
        <v>29</v>
      </c>
      <c r="H34" s="6">
        <v>27000</v>
      </c>
      <c r="I34" s="2" t="str">
        <f t="shared" si="0"/>
        <v>Fuera del margen</v>
      </c>
      <c r="J34" s="2" t="s">
        <v>42</v>
      </c>
      <c r="K34" s="5" t="s">
        <v>160</v>
      </c>
      <c r="L34" s="3" t="s">
        <v>169</v>
      </c>
      <c r="O34" s="2" t="str">
        <f t="shared" si="1"/>
        <v/>
      </c>
      <c r="P34" s="2"/>
      <c r="Q34" s="5"/>
      <c r="U34" s="2" t="str">
        <f t="shared" si="2"/>
        <v/>
      </c>
      <c r="V34" s="2"/>
      <c r="W34" s="5"/>
      <c r="Z34" s="6">
        <v>2205</v>
      </c>
      <c r="AA34" s="2" t="str">
        <f t="shared" si="3"/>
        <v>Dentro del margen</v>
      </c>
      <c r="AB34" s="2" t="s">
        <v>42</v>
      </c>
      <c r="AC34" s="5" t="s">
        <v>170</v>
      </c>
      <c r="AD34" s="3" t="s">
        <v>171</v>
      </c>
      <c r="AF34" s="6">
        <v>2430</v>
      </c>
      <c r="AG34" s="2" t="str">
        <f t="shared" si="4"/>
        <v>Dentro del margen</v>
      </c>
      <c r="AH34" s="2" t="s">
        <v>42</v>
      </c>
      <c r="AI34" s="5" t="s">
        <v>172</v>
      </c>
      <c r="AJ34" s="3" t="s">
        <v>173</v>
      </c>
    </row>
    <row r="35" spans="1:36" ht="30" x14ac:dyDescent="0.25">
      <c r="A35" t="s">
        <v>174</v>
      </c>
      <c r="B35" t="s">
        <v>25</v>
      </c>
      <c r="C35" t="s">
        <v>175</v>
      </c>
      <c r="D35" s="6">
        <v>3550</v>
      </c>
      <c r="E35" s="3" t="s">
        <v>176</v>
      </c>
      <c r="F35" s="4" t="s">
        <v>78</v>
      </c>
      <c r="G35" t="s">
        <v>29</v>
      </c>
      <c r="I35" s="2" t="str">
        <f t="shared" si="0"/>
        <v/>
      </c>
      <c r="J35" s="2"/>
      <c r="K35" s="5"/>
      <c r="O35" s="2" t="str">
        <f t="shared" si="1"/>
        <v/>
      </c>
      <c r="P35" s="2"/>
      <c r="Q35" s="5"/>
      <c r="U35" s="2" t="str">
        <f t="shared" si="2"/>
        <v/>
      </c>
      <c r="V35" s="2"/>
      <c r="W35" s="5"/>
      <c r="AA35" s="2" t="str">
        <f t="shared" si="3"/>
        <v/>
      </c>
      <c r="AB35" s="2"/>
      <c r="AC35" s="5"/>
      <c r="AG35" s="2" t="str">
        <f t="shared" si="4"/>
        <v/>
      </c>
      <c r="AH35" s="2"/>
      <c r="AI35" s="5"/>
    </row>
    <row r="36" spans="1:36" ht="30" x14ac:dyDescent="0.25">
      <c r="A36" t="s">
        <v>177</v>
      </c>
      <c r="B36" t="s">
        <v>25</v>
      </c>
      <c r="C36" t="s">
        <v>178</v>
      </c>
      <c r="D36" s="6">
        <v>3550</v>
      </c>
      <c r="E36" s="3" t="s">
        <v>179</v>
      </c>
      <c r="F36" s="4" t="s">
        <v>78</v>
      </c>
      <c r="G36" t="s">
        <v>29</v>
      </c>
      <c r="I36" s="2" t="str">
        <f t="shared" si="0"/>
        <v/>
      </c>
      <c r="J36" s="2"/>
      <c r="K36" s="5"/>
      <c r="O36" s="2" t="str">
        <f t="shared" si="1"/>
        <v/>
      </c>
      <c r="P36" s="2"/>
      <c r="Q36" s="5"/>
      <c r="U36" s="2" t="str">
        <f t="shared" si="2"/>
        <v/>
      </c>
      <c r="V36" s="2"/>
      <c r="W36" s="5"/>
      <c r="AA36" s="2" t="str">
        <f t="shared" si="3"/>
        <v/>
      </c>
      <c r="AB36" s="2"/>
      <c r="AC36" s="5"/>
      <c r="AG36" s="2" t="str">
        <f t="shared" si="4"/>
        <v/>
      </c>
      <c r="AH36" s="2"/>
      <c r="AI36" s="5"/>
    </row>
    <row r="37" spans="1:36" ht="30" x14ac:dyDescent="0.25">
      <c r="A37" t="s">
        <v>180</v>
      </c>
      <c r="B37" t="s">
        <v>25</v>
      </c>
      <c r="C37" t="s">
        <v>181</v>
      </c>
      <c r="D37" s="6">
        <v>3550</v>
      </c>
      <c r="E37" s="3" t="s">
        <v>182</v>
      </c>
      <c r="F37" s="4" t="s">
        <v>78</v>
      </c>
      <c r="G37" t="s">
        <v>29</v>
      </c>
      <c r="I37" s="2" t="str">
        <f t="shared" si="0"/>
        <v/>
      </c>
      <c r="J37" s="2"/>
      <c r="K37" s="5"/>
      <c r="O37" s="2" t="str">
        <f t="shared" si="1"/>
        <v/>
      </c>
      <c r="P37" s="2"/>
      <c r="Q37" s="5"/>
      <c r="U37" s="2" t="str">
        <f t="shared" si="2"/>
        <v/>
      </c>
      <c r="V37" s="2"/>
      <c r="W37" s="5"/>
      <c r="AA37" s="2" t="str">
        <f t="shared" si="3"/>
        <v/>
      </c>
      <c r="AB37" s="2"/>
      <c r="AC37" s="5"/>
      <c r="AG37" s="2" t="str">
        <f t="shared" si="4"/>
        <v/>
      </c>
      <c r="AH37" s="2"/>
      <c r="AI37" s="5"/>
    </row>
    <row r="38" spans="1:36" ht="45" x14ac:dyDescent="0.25">
      <c r="A38" s="12" t="s">
        <v>183</v>
      </c>
      <c r="B38" t="s">
        <v>25</v>
      </c>
      <c r="C38" t="s">
        <v>184</v>
      </c>
      <c r="D38" s="6">
        <v>4650</v>
      </c>
      <c r="E38" s="3" t="s">
        <v>185</v>
      </c>
      <c r="F38" s="4" t="s">
        <v>45</v>
      </c>
      <c r="G38" t="s">
        <v>29</v>
      </c>
      <c r="H38" s="6">
        <v>6000</v>
      </c>
      <c r="I38" s="2" t="str">
        <f t="shared" si="0"/>
        <v>Dentro del margen</v>
      </c>
      <c r="J38" s="2" t="s">
        <v>42</v>
      </c>
      <c r="K38" s="5" t="s">
        <v>186</v>
      </c>
      <c r="L38" s="3" t="s">
        <v>187</v>
      </c>
      <c r="O38" s="2" t="str">
        <f t="shared" si="1"/>
        <v/>
      </c>
      <c r="P38" s="2"/>
      <c r="Q38" s="5"/>
      <c r="U38" s="2" t="str">
        <f t="shared" si="2"/>
        <v/>
      </c>
      <c r="V38" s="2"/>
      <c r="W38" s="5"/>
      <c r="AA38" s="2" t="str">
        <f t="shared" si="3"/>
        <v/>
      </c>
      <c r="AB38" s="2"/>
      <c r="AC38" s="5"/>
      <c r="AF38" s="6">
        <v>9000</v>
      </c>
      <c r="AG38" s="2" t="str">
        <f t="shared" si="4"/>
        <v>Fuera del margen</v>
      </c>
      <c r="AH38" s="2" t="s">
        <v>42</v>
      </c>
      <c r="AI38" s="5" t="s">
        <v>188</v>
      </c>
      <c r="AJ38" s="3" t="s">
        <v>189</v>
      </c>
    </row>
    <row r="39" spans="1:36" ht="45" x14ac:dyDescent="0.25">
      <c r="A39" t="s">
        <v>183</v>
      </c>
      <c r="B39" t="s">
        <v>30</v>
      </c>
      <c r="C39" t="s">
        <v>184</v>
      </c>
      <c r="D39" s="6">
        <v>4650</v>
      </c>
      <c r="E39" s="3" t="s">
        <v>185</v>
      </c>
      <c r="F39" s="4" t="s">
        <v>45</v>
      </c>
      <c r="G39" t="s">
        <v>29</v>
      </c>
      <c r="I39" s="2" t="str">
        <f t="shared" si="0"/>
        <v/>
      </c>
      <c r="J39" s="2"/>
      <c r="K39" s="5"/>
      <c r="O39" s="2" t="str">
        <f t="shared" si="1"/>
        <v/>
      </c>
      <c r="P39" s="2"/>
      <c r="Q39" s="5"/>
      <c r="U39" s="2" t="str">
        <f t="shared" si="2"/>
        <v/>
      </c>
      <c r="V39" s="2"/>
      <c r="W39" s="5"/>
      <c r="AA39" s="2" t="str">
        <f t="shared" si="3"/>
        <v/>
      </c>
      <c r="AB39" s="2"/>
      <c r="AC39" s="5"/>
      <c r="AF39" s="6">
        <v>9000</v>
      </c>
      <c r="AG39" s="2" t="str">
        <f t="shared" si="4"/>
        <v>Fuera del margen</v>
      </c>
      <c r="AH39" s="2" t="s">
        <v>42</v>
      </c>
      <c r="AI39" s="5" t="s">
        <v>188</v>
      </c>
      <c r="AJ39" s="3" t="s">
        <v>190</v>
      </c>
    </row>
    <row r="40" spans="1:36" ht="45" x14ac:dyDescent="0.25">
      <c r="A40" s="12" t="s">
        <v>191</v>
      </c>
      <c r="B40" t="s">
        <v>25</v>
      </c>
      <c r="C40" t="s">
        <v>192</v>
      </c>
      <c r="D40" s="6">
        <v>4650</v>
      </c>
      <c r="E40" s="3" t="s">
        <v>193</v>
      </c>
      <c r="F40" s="4" t="s">
        <v>45</v>
      </c>
      <c r="G40" t="s">
        <v>29</v>
      </c>
      <c r="H40" s="6">
        <v>6000</v>
      </c>
      <c r="I40" s="2" t="str">
        <f t="shared" si="0"/>
        <v>Dentro del margen</v>
      </c>
      <c r="J40" s="2" t="s">
        <v>42</v>
      </c>
      <c r="K40" s="5" t="s">
        <v>186</v>
      </c>
      <c r="L40" s="3" t="s">
        <v>194</v>
      </c>
      <c r="O40" s="2" t="str">
        <f t="shared" si="1"/>
        <v/>
      </c>
      <c r="P40" s="2"/>
      <c r="Q40" s="5"/>
      <c r="U40" s="2" t="str">
        <f t="shared" si="2"/>
        <v/>
      </c>
      <c r="V40" s="2"/>
      <c r="W40" s="5"/>
      <c r="Z40" s="6">
        <v>5966</v>
      </c>
      <c r="AA40" s="2" t="str">
        <f t="shared" si="3"/>
        <v>Dentro del margen</v>
      </c>
      <c r="AB40" s="2" t="s">
        <v>42</v>
      </c>
      <c r="AC40" s="5" t="s">
        <v>195</v>
      </c>
      <c r="AD40" s="3" t="s">
        <v>196</v>
      </c>
      <c r="AF40" s="6">
        <v>9000</v>
      </c>
      <c r="AG40" s="2" t="str">
        <f t="shared" si="4"/>
        <v>Fuera del margen</v>
      </c>
      <c r="AH40" s="2" t="s">
        <v>42</v>
      </c>
      <c r="AI40" s="5" t="s">
        <v>188</v>
      </c>
      <c r="AJ40" s="3" t="s">
        <v>197</v>
      </c>
    </row>
    <row r="41" spans="1:36" ht="45" x14ac:dyDescent="0.25">
      <c r="A41" t="s">
        <v>191</v>
      </c>
      <c r="B41" t="s">
        <v>30</v>
      </c>
      <c r="C41" t="s">
        <v>192</v>
      </c>
      <c r="D41" s="6">
        <v>4650</v>
      </c>
      <c r="E41" s="3" t="s">
        <v>193</v>
      </c>
      <c r="F41" s="4" t="s">
        <v>45</v>
      </c>
      <c r="G41" t="s">
        <v>29</v>
      </c>
      <c r="I41" s="2" t="str">
        <f t="shared" si="0"/>
        <v/>
      </c>
      <c r="J41" s="2"/>
      <c r="K41" s="5"/>
      <c r="O41" s="2" t="str">
        <f t="shared" si="1"/>
        <v/>
      </c>
      <c r="P41" s="2"/>
      <c r="Q41" s="5"/>
      <c r="U41" s="2" t="str">
        <f t="shared" si="2"/>
        <v/>
      </c>
      <c r="V41" s="2"/>
      <c r="W41" s="5"/>
      <c r="AA41" s="2" t="str">
        <f t="shared" si="3"/>
        <v/>
      </c>
      <c r="AB41" s="2"/>
      <c r="AC41" s="5"/>
      <c r="AF41" s="6">
        <v>9000</v>
      </c>
      <c r="AG41" s="2" t="str">
        <f t="shared" si="4"/>
        <v>Fuera del margen</v>
      </c>
      <c r="AH41" s="2" t="s">
        <v>42</v>
      </c>
      <c r="AI41" s="5" t="s">
        <v>188</v>
      </c>
      <c r="AJ41" s="3" t="s">
        <v>198</v>
      </c>
    </row>
    <row r="42" spans="1:36" ht="45" x14ac:dyDescent="0.25">
      <c r="A42" s="12" t="s">
        <v>199</v>
      </c>
      <c r="B42" t="s">
        <v>25</v>
      </c>
      <c r="C42" t="s">
        <v>200</v>
      </c>
      <c r="D42" s="6">
        <v>4650</v>
      </c>
      <c r="E42" s="3" t="s">
        <v>201</v>
      </c>
      <c r="F42" s="4" t="s">
        <v>45</v>
      </c>
      <c r="G42" t="s">
        <v>29</v>
      </c>
      <c r="H42" s="6">
        <v>6000</v>
      </c>
      <c r="I42" s="2" t="str">
        <f t="shared" si="0"/>
        <v>Dentro del margen</v>
      </c>
      <c r="J42" s="2" t="s">
        <v>42</v>
      </c>
      <c r="K42" s="5" t="s">
        <v>186</v>
      </c>
      <c r="L42" s="3" t="s">
        <v>202</v>
      </c>
      <c r="O42" s="2" t="str">
        <f t="shared" ref="O42:O73" si="5">IF(OR(D42=0,D42="",N42=0,N42=""),"",IF(N42&lt;=(D42*1.3),"Dentro del margen","Fuera del margen"))</f>
        <v/>
      </c>
      <c r="P42" s="2"/>
      <c r="Q42" s="5"/>
      <c r="U42" s="2" t="str">
        <f t="shared" si="2"/>
        <v/>
      </c>
      <c r="V42" s="2"/>
      <c r="W42" s="5"/>
      <c r="Z42" s="6">
        <v>5966</v>
      </c>
      <c r="AA42" s="2" t="str">
        <f t="shared" si="3"/>
        <v>Dentro del margen</v>
      </c>
      <c r="AB42" s="2" t="s">
        <v>42</v>
      </c>
      <c r="AC42" s="5" t="s">
        <v>195</v>
      </c>
      <c r="AD42" s="3" t="s">
        <v>203</v>
      </c>
      <c r="AF42" s="6">
        <v>9000</v>
      </c>
      <c r="AG42" s="2" t="str">
        <f t="shared" si="4"/>
        <v>Fuera del margen</v>
      </c>
      <c r="AH42" s="2" t="s">
        <v>42</v>
      </c>
      <c r="AI42" s="5" t="s">
        <v>188</v>
      </c>
      <c r="AJ42" s="3" t="s">
        <v>204</v>
      </c>
    </row>
    <row r="43" spans="1:36" ht="45" x14ac:dyDescent="0.25">
      <c r="A43" t="s">
        <v>199</v>
      </c>
      <c r="B43" t="s">
        <v>30</v>
      </c>
      <c r="C43" t="s">
        <v>200</v>
      </c>
      <c r="D43" s="6">
        <v>4650</v>
      </c>
      <c r="E43" s="3" t="s">
        <v>201</v>
      </c>
      <c r="F43" s="4" t="s">
        <v>45</v>
      </c>
      <c r="G43" t="s">
        <v>29</v>
      </c>
      <c r="I43" s="2" t="str">
        <f t="shared" si="0"/>
        <v/>
      </c>
      <c r="J43" s="2"/>
      <c r="K43" s="5"/>
      <c r="O43" s="2" t="str">
        <f t="shared" si="5"/>
        <v/>
      </c>
      <c r="P43" s="2"/>
      <c r="Q43" s="5"/>
      <c r="U43" s="2" t="str">
        <f t="shared" si="2"/>
        <v/>
      </c>
      <c r="V43" s="2"/>
      <c r="W43" s="5"/>
      <c r="AA43" s="2" t="str">
        <f t="shared" si="3"/>
        <v/>
      </c>
      <c r="AB43" s="2"/>
      <c r="AC43" s="5"/>
      <c r="AF43" s="6">
        <v>9000</v>
      </c>
      <c r="AG43" s="2" t="str">
        <f t="shared" si="4"/>
        <v>Fuera del margen</v>
      </c>
      <c r="AH43" s="2" t="s">
        <v>42</v>
      </c>
      <c r="AI43" s="5" t="s">
        <v>188</v>
      </c>
      <c r="AJ43" s="3" t="s">
        <v>205</v>
      </c>
    </row>
    <row r="44" spans="1:36" ht="30" x14ac:dyDescent="0.25">
      <c r="A44" t="s">
        <v>206</v>
      </c>
      <c r="B44" t="s">
        <v>25</v>
      </c>
      <c r="C44" t="s">
        <v>207</v>
      </c>
      <c r="D44" s="6">
        <v>3035</v>
      </c>
      <c r="E44" s="3" t="s">
        <v>208</v>
      </c>
      <c r="F44" s="4" t="s">
        <v>71</v>
      </c>
      <c r="G44" t="s">
        <v>29</v>
      </c>
      <c r="I44" s="2" t="str">
        <f t="shared" si="0"/>
        <v/>
      </c>
      <c r="J44" s="2"/>
      <c r="K44" s="5"/>
      <c r="O44" s="2" t="str">
        <f t="shared" si="5"/>
        <v/>
      </c>
      <c r="P44" s="2"/>
      <c r="Q44" s="5"/>
      <c r="U44" s="2" t="str">
        <f t="shared" si="2"/>
        <v/>
      </c>
      <c r="V44" s="2"/>
      <c r="W44" s="5"/>
      <c r="AA44" s="2" t="str">
        <f t="shared" si="3"/>
        <v/>
      </c>
      <c r="AB44" s="2"/>
      <c r="AC44" s="5"/>
      <c r="AG44" s="2" t="str">
        <f t="shared" si="4"/>
        <v/>
      </c>
      <c r="AH44" s="2"/>
      <c r="AI44" s="5"/>
    </row>
    <row r="45" spans="1:36" ht="45" x14ac:dyDescent="0.25">
      <c r="A45" s="12" t="s">
        <v>209</v>
      </c>
      <c r="B45" t="s">
        <v>25</v>
      </c>
      <c r="C45" t="s">
        <v>210</v>
      </c>
      <c r="D45" s="6">
        <v>2950.01</v>
      </c>
      <c r="E45" s="3" t="s">
        <v>211</v>
      </c>
      <c r="F45" s="4" t="s">
        <v>212</v>
      </c>
      <c r="G45" t="s">
        <v>29</v>
      </c>
      <c r="H45" s="6">
        <v>750</v>
      </c>
      <c r="I45" s="2" t="str">
        <f t="shared" si="0"/>
        <v>Dentro del margen</v>
      </c>
      <c r="J45" s="2" t="s">
        <v>213</v>
      </c>
      <c r="K45" s="5" t="s">
        <v>214</v>
      </c>
      <c r="L45" s="3" t="s">
        <v>215</v>
      </c>
      <c r="O45" s="2" t="str">
        <f t="shared" si="5"/>
        <v/>
      </c>
      <c r="P45" s="2"/>
      <c r="Q45" s="5"/>
      <c r="U45" s="2" t="str">
        <f t="shared" si="2"/>
        <v/>
      </c>
      <c r="V45" s="2"/>
      <c r="W45" s="5"/>
      <c r="AA45" s="2" t="str">
        <f t="shared" si="3"/>
        <v/>
      </c>
      <c r="AB45" s="2"/>
      <c r="AC45" s="5"/>
      <c r="AF45" s="6">
        <v>1979</v>
      </c>
      <c r="AG45" s="2" t="str">
        <f t="shared" si="4"/>
        <v>Dentro del margen</v>
      </c>
      <c r="AH45" s="2" t="s">
        <v>213</v>
      </c>
      <c r="AI45" s="5" t="s">
        <v>216</v>
      </c>
      <c r="AJ45" s="3" t="s">
        <v>217</v>
      </c>
    </row>
    <row r="46" spans="1:36" ht="30" x14ac:dyDescent="0.25">
      <c r="A46" t="s">
        <v>218</v>
      </c>
      <c r="B46" t="s">
        <v>25</v>
      </c>
      <c r="C46" t="s">
        <v>219</v>
      </c>
      <c r="D46" s="6">
        <v>3763</v>
      </c>
      <c r="E46" s="3" t="s">
        <v>220</v>
      </c>
      <c r="F46" s="4" t="s">
        <v>221</v>
      </c>
      <c r="G46" t="s">
        <v>29</v>
      </c>
      <c r="I46" s="2" t="str">
        <f t="shared" si="0"/>
        <v/>
      </c>
      <c r="J46" s="2"/>
      <c r="K46" s="5"/>
      <c r="O46" s="2" t="str">
        <f t="shared" si="5"/>
        <v/>
      </c>
      <c r="P46" s="2"/>
      <c r="Q46" s="5"/>
      <c r="U46" s="2" t="str">
        <f t="shared" si="2"/>
        <v/>
      </c>
      <c r="V46" s="2"/>
      <c r="W46" s="5"/>
      <c r="AA46" s="2" t="str">
        <f t="shared" si="3"/>
        <v/>
      </c>
      <c r="AB46" s="2"/>
      <c r="AC46" s="5"/>
      <c r="AG46" s="2" t="str">
        <f t="shared" si="4"/>
        <v/>
      </c>
      <c r="AH46" s="2"/>
      <c r="AI46" s="5"/>
    </row>
    <row r="47" spans="1:36" ht="30" x14ac:dyDescent="0.25">
      <c r="A47" t="s">
        <v>222</v>
      </c>
      <c r="B47" t="s">
        <v>25</v>
      </c>
      <c r="C47" t="s">
        <v>223</v>
      </c>
      <c r="D47" s="6">
        <v>2685</v>
      </c>
      <c r="E47" s="3" t="s">
        <v>224</v>
      </c>
      <c r="F47" s="4" t="s">
        <v>94</v>
      </c>
      <c r="G47" t="s">
        <v>29</v>
      </c>
      <c r="I47" s="2" t="str">
        <f t="shared" si="0"/>
        <v/>
      </c>
      <c r="J47" s="2"/>
      <c r="K47" s="5"/>
      <c r="O47" s="2" t="str">
        <f t="shared" si="5"/>
        <v/>
      </c>
      <c r="P47" s="2"/>
      <c r="Q47" s="5"/>
      <c r="U47" s="2" t="str">
        <f t="shared" si="2"/>
        <v/>
      </c>
      <c r="V47" s="2"/>
      <c r="W47" s="5"/>
      <c r="AA47" s="2" t="str">
        <f t="shared" si="3"/>
        <v/>
      </c>
      <c r="AB47" s="2"/>
      <c r="AC47" s="5"/>
      <c r="AG47" s="2" t="str">
        <f t="shared" si="4"/>
        <v/>
      </c>
      <c r="AH47" s="2"/>
      <c r="AI47" s="5"/>
    </row>
    <row r="48" spans="1:36" ht="30" x14ac:dyDescent="0.25">
      <c r="A48" t="s">
        <v>225</v>
      </c>
      <c r="B48" t="s">
        <v>25</v>
      </c>
      <c r="C48" t="s">
        <v>226</v>
      </c>
      <c r="D48" s="6">
        <v>2775</v>
      </c>
      <c r="E48" s="3" t="s">
        <v>227</v>
      </c>
      <c r="F48" s="4" t="s">
        <v>94</v>
      </c>
      <c r="G48" t="s">
        <v>29</v>
      </c>
      <c r="I48" s="2" t="str">
        <f t="shared" si="0"/>
        <v/>
      </c>
      <c r="J48" s="2"/>
      <c r="K48" s="5"/>
      <c r="O48" s="2" t="str">
        <f t="shared" si="5"/>
        <v/>
      </c>
      <c r="P48" s="2"/>
      <c r="Q48" s="5"/>
      <c r="U48" s="2" t="str">
        <f t="shared" si="2"/>
        <v/>
      </c>
      <c r="V48" s="2"/>
      <c r="W48" s="5"/>
      <c r="AA48" s="2" t="str">
        <f t="shared" si="3"/>
        <v/>
      </c>
      <c r="AB48" s="2"/>
      <c r="AC48" s="5"/>
      <c r="AG48" s="2" t="str">
        <f t="shared" si="4"/>
        <v/>
      </c>
      <c r="AH48" s="2"/>
      <c r="AI48" s="5"/>
    </row>
    <row r="49" spans="1:35" ht="30" x14ac:dyDescent="0.25">
      <c r="A49" t="s">
        <v>228</v>
      </c>
      <c r="B49" t="s">
        <v>25</v>
      </c>
      <c r="C49" t="s">
        <v>229</v>
      </c>
      <c r="D49" s="6">
        <v>2815</v>
      </c>
      <c r="E49" s="3" t="s">
        <v>230</v>
      </c>
      <c r="F49" s="4" t="s">
        <v>94</v>
      </c>
      <c r="G49" t="s">
        <v>29</v>
      </c>
      <c r="I49" s="2" t="str">
        <f t="shared" si="0"/>
        <v/>
      </c>
      <c r="J49" s="2"/>
      <c r="K49" s="5"/>
      <c r="O49" s="2" t="str">
        <f t="shared" si="5"/>
        <v/>
      </c>
      <c r="P49" s="2"/>
      <c r="Q49" s="5"/>
      <c r="U49" s="2" t="str">
        <f t="shared" si="2"/>
        <v/>
      </c>
      <c r="V49" s="2"/>
      <c r="W49" s="5"/>
      <c r="AA49" s="2" t="str">
        <f t="shared" si="3"/>
        <v/>
      </c>
      <c r="AB49" s="2"/>
      <c r="AC49" s="5"/>
      <c r="AG49" s="2" t="str">
        <f t="shared" si="4"/>
        <v/>
      </c>
      <c r="AH49" s="2"/>
      <c r="AI49" s="5"/>
    </row>
    <row r="50" spans="1:35" ht="30" x14ac:dyDescent="0.25">
      <c r="A50" t="s">
        <v>231</v>
      </c>
      <c r="B50" t="s">
        <v>25</v>
      </c>
      <c r="C50" t="s">
        <v>232</v>
      </c>
      <c r="D50" s="6">
        <v>2468</v>
      </c>
      <c r="E50" s="3" t="s">
        <v>233</v>
      </c>
      <c r="F50" s="4" t="s">
        <v>94</v>
      </c>
      <c r="G50" t="s">
        <v>29</v>
      </c>
      <c r="I50" s="2" t="str">
        <f t="shared" si="0"/>
        <v/>
      </c>
      <c r="J50" s="2"/>
      <c r="K50" s="5"/>
      <c r="O50" s="2" t="str">
        <f t="shared" si="5"/>
        <v/>
      </c>
      <c r="P50" s="2"/>
      <c r="Q50" s="5"/>
      <c r="U50" s="2" t="str">
        <f t="shared" si="2"/>
        <v/>
      </c>
      <c r="V50" s="2"/>
      <c r="W50" s="5"/>
      <c r="AA50" s="2" t="str">
        <f t="shared" si="3"/>
        <v/>
      </c>
      <c r="AB50" s="2"/>
      <c r="AC50" s="5"/>
      <c r="AG50" s="2" t="str">
        <f t="shared" si="4"/>
        <v/>
      </c>
      <c r="AH50" s="2"/>
      <c r="AI50" s="5"/>
    </row>
    <row r="51" spans="1:35" x14ac:dyDescent="0.25">
      <c r="A51" t="s">
        <v>234</v>
      </c>
      <c r="B51" t="s">
        <v>25</v>
      </c>
      <c r="C51" t="s">
        <v>235</v>
      </c>
      <c r="D51" s="6">
        <v>3575</v>
      </c>
      <c r="E51" t="s">
        <v>236</v>
      </c>
      <c r="F51" s="4" t="s">
        <v>71</v>
      </c>
      <c r="G51" t="s">
        <v>29</v>
      </c>
      <c r="I51" s="2" t="str">
        <f t="shared" si="0"/>
        <v/>
      </c>
      <c r="J51" s="2"/>
      <c r="K51" s="5"/>
      <c r="O51" s="2" t="str">
        <f t="shared" si="5"/>
        <v/>
      </c>
      <c r="P51" s="2"/>
      <c r="Q51" s="5"/>
      <c r="U51" s="2" t="str">
        <f t="shared" si="2"/>
        <v/>
      </c>
      <c r="V51" s="2"/>
      <c r="W51" s="5"/>
      <c r="AA51" s="2" t="str">
        <f t="shared" si="3"/>
        <v/>
      </c>
      <c r="AB51" s="2"/>
      <c r="AC51" s="5"/>
      <c r="AG51" s="2" t="str">
        <f t="shared" si="4"/>
        <v/>
      </c>
      <c r="AH51" s="2"/>
      <c r="AI51" s="5"/>
    </row>
    <row r="52" spans="1:35" ht="30" x14ac:dyDescent="0.25">
      <c r="A52" t="s">
        <v>237</v>
      </c>
      <c r="B52" t="s">
        <v>25</v>
      </c>
      <c r="C52" t="s">
        <v>238</v>
      </c>
      <c r="D52" s="6">
        <v>2473</v>
      </c>
      <c r="E52" s="3" t="s">
        <v>239</v>
      </c>
      <c r="F52" s="4" t="s">
        <v>71</v>
      </c>
      <c r="G52" t="s">
        <v>29</v>
      </c>
      <c r="I52" s="2" t="str">
        <f t="shared" si="0"/>
        <v/>
      </c>
      <c r="J52" s="2"/>
      <c r="K52" s="5"/>
      <c r="O52" s="2" t="str">
        <f t="shared" si="5"/>
        <v/>
      </c>
      <c r="P52" s="2"/>
      <c r="Q52" s="5"/>
      <c r="U52" s="2" t="str">
        <f t="shared" si="2"/>
        <v/>
      </c>
      <c r="V52" s="2"/>
      <c r="W52" s="5"/>
      <c r="AA52" s="2" t="str">
        <f t="shared" si="3"/>
        <v/>
      </c>
      <c r="AB52" s="2"/>
      <c r="AC52" s="5"/>
      <c r="AG52" s="2" t="str">
        <f t="shared" si="4"/>
        <v/>
      </c>
      <c r="AH52" s="2"/>
      <c r="AI52" s="5"/>
    </row>
    <row r="53" spans="1:35" ht="30" x14ac:dyDescent="0.25">
      <c r="A53" t="s">
        <v>240</v>
      </c>
      <c r="B53" t="s">
        <v>25</v>
      </c>
      <c r="C53" t="s">
        <v>241</v>
      </c>
      <c r="D53" s="6">
        <v>4650</v>
      </c>
      <c r="E53" s="3" t="s">
        <v>242</v>
      </c>
      <c r="F53" s="4" t="s">
        <v>28</v>
      </c>
      <c r="G53" t="s">
        <v>29</v>
      </c>
      <c r="I53" s="2" t="str">
        <f t="shared" si="0"/>
        <v/>
      </c>
      <c r="J53" s="2"/>
      <c r="K53" s="5"/>
      <c r="O53" s="2" t="str">
        <f t="shared" si="5"/>
        <v/>
      </c>
      <c r="P53" s="2"/>
      <c r="Q53" s="5"/>
      <c r="U53" s="2" t="str">
        <f t="shared" si="2"/>
        <v/>
      </c>
      <c r="V53" s="2"/>
      <c r="W53" s="5"/>
      <c r="AA53" s="2" t="str">
        <f t="shared" si="3"/>
        <v/>
      </c>
      <c r="AB53" s="2"/>
      <c r="AC53" s="5"/>
      <c r="AG53" s="2" t="str">
        <f t="shared" si="4"/>
        <v/>
      </c>
      <c r="AH53" s="2"/>
      <c r="AI53" s="5"/>
    </row>
    <row r="54" spans="1:35" ht="30" x14ac:dyDescent="0.25">
      <c r="A54" t="s">
        <v>243</v>
      </c>
      <c r="B54" t="s">
        <v>25</v>
      </c>
      <c r="C54" t="s">
        <v>244</v>
      </c>
      <c r="D54" s="6">
        <v>2468</v>
      </c>
      <c r="E54" s="3" t="s">
        <v>245</v>
      </c>
      <c r="F54" s="4" t="s">
        <v>28</v>
      </c>
      <c r="G54" t="s">
        <v>29</v>
      </c>
      <c r="I54" s="2" t="str">
        <f t="shared" si="0"/>
        <v/>
      </c>
      <c r="J54" s="2"/>
      <c r="K54" s="5"/>
      <c r="O54" s="2" t="str">
        <f t="shared" si="5"/>
        <v/>
      </c>
      <c r="P54" s="2"/>
      <c r="Q54" s="5"/>
      <c r="U54" s="2" t="str">
        <f t="shared" si="2"/>
        <v/>
      </c>
      <c r="V54" s="2"/>
      <c r="W54" s="5"/>
      <c r="AA54" s="2" t="str">
        <f t="shared" si="3"/>
        <v/>
      </c>
      <c r="AB54" s="2"/>
      <c r="AC54" s="5"/>
      <c r="AG54" s="2" t="str">
        <f t="shared" si="4"/>
        <v/>
      </c>
      <c r="AH54" s="2"/>
      <c r="AI54" s="5"/>
    </row>
    <row r="55" spans="1:35" ht="30" x14ac:dyDescent="0.25">
      <c r="A55" t="s">
        <v>246</v>
      </c>
      <c r="B55" t="s">
        <v>25</v>
      </c>
      <c r="C55" t="s">
        <v>247</v>
      </c>
      <c r="D55" s="6">
        <v>2675</v>
      </c>
      <c r="E55" s="3" t="s">
        <v>248</v>
      </c>
      <c r="F55" s="4" t="s">
        <v>28</v>
      </c>
      <c r="G55" t="s">
        <v>29</v>
      </c>
      <c r="I55" s="2" t="str">
        <f t="shared" si="0"/>
        <v/>
      </c>
      <c r="J55" s="2"/>
      <c r="K55" s="5"/>
      <c r="O55" s="2" t="str">
        <f t="shared" si="5"/>
        <v/>
      </c>
      <c r="P55" s="2"/>
      <c r="Q55" s="5"/>
      <c r="U55" s="2" t="str">
        <f t="shared" si="2"/>
        <v/>
      </c>
      <c r="V55" s="2"/>
      <c r="W55" s="5"/>
      <c r="AA55" s="2" t="str">
        <f t="shared" si="3"/>
        <v/>
      </c>
      <c r="AB55" s="2"/>
      <c r="AC55" s="5"/>
      <c r="AG55" s="2" t="str">
        <f t="shared" si="4"/>
        <v/>
      </c>
      <c r="AH55" s="2"/>
      <c r="AI55" s="5"/>
    </row>
    <row r="56" spans="1:35" ht="30" x14ac:dyDescent="0.25">
      <c r="A56" t="s">
        <v>249</v>
      </c>
      <c r="B56" t="s">
        <v>25</v>
      </c>
      <c r="C56" t="s">
        <v>250</v>
      </c>
      <c r="D56" s="6">
        <v>2665</v>
      </c>
      <c r="E56" s="3" t="s">
        <v>251</v>
      </c>
      <c r="F56" s="4" t="s">
        <v>78</v>
      </c>
      <c r="G56" t="s">
        <v>29</v>
      </c>
      <c r="I56" s="2" t="str">
        <f t="shared" si="0"/>
        <v/>
      </c>
      <c r="J56" s="2"/>
      <c r="K56" s="5"/>
      <c r="O56" s="2" t="str">
        <f t="shared" si="5"/>
        <v/>
      </c>
      <c r="P56" s="2"/>
      <c r="Q56" s="5"/>
      <c r="U56" s="2" t="str">
        <f t="shared" si="2"/>
        <v/>
      </c>
      <c r="V56" s="2"/>
      <c r="W56" s="5"/>
      <c r="AA56" s="2" t="str">
        <f t="shared" si="3"/>
        <v/>
      </c>
      <c r="AB56" s="2"/>
      <c r="AC56" s="5"/>
      <c r="AG56" s="2" t="str">
        <f t="shared" si="4"/>
        <v/>
      </c>
      <c r="AH56" s="2"/>
      <c r="AI56" s="5"/>
    </row>
    <row r="57" spans="1:35" ht="30" x14ac:dyDescent="0.25">
      <c r="A57" t="s">
        <v>252</v>
      </c>
      <c r="B57" t="s">
        <v>25</v>
      </c>
      <c r="C57" t="s">
        <v>253</v>
      </c>
      <c r="D57" s="6">
        <v>2720</v>
      </c>
      <c r="E57" s="3" t="s">
        <v>254</v>
      </c>
      <c r="F57" s="4" t="s">
        <v>212</v>
      </c>
      <c r="G57" t="s">
        <v>29</v>
      </c>
      <c r="I57" s="2" t="str">
        <f t="shared" si="0"/>
        <v/>
      </c>
      <c r="J57" s="2"/>
      <c r="K57" s="5"/>
      <c r="O57" s="2" t="str">
        <f t="shared" si="5"/>
        <v/>
      </c>
      <c r="P57" s="2"/>
      <c r="Q57" s="5"/>
      <c r="U57" s="2" t="str">
        <f t="shared" si="2"/>
        <v/>
      </c>
      <c r="V57" s="2"/>
      <c r="W57" s="5"/>
      <c r="AA57" s="2" t="str">
        <f t="shared" si="3"/>
        <v/>
      </c>
      <c r="AB57" s="2"/>
      <c r="AC57" s="5"/>
      <c r="AG57" s="2" t="str">
        <f t="shared" si="4"/>
        <v/>
      </c>
      <c r="AH57" s="2"/>
      <c r="AI57" s="5"/>
    </row>
    <row r="58" spans="1:35" ht="30" x14ac:dyDescent="0.25">
      <c r="A58" t="s">
        <v>255</v>
      </c>
      <c r="B58" t="s">
        <v>25</v>
      </c>
      <c r="C58" t="s">
        <v>256</v>
      </c>
      <c r="D58" s="6">
        <v>2750</v>
      </c>
      <c r="E58" s="3" t="s">
        <v>257</v>
      </c>
      <c r="F58" s="4" t="s">
        <v>45</v>
      </c>
      <c r="G58" t="s">
        <v>29</v>
      </c>
      <c r="I58" s="2" t="str">
        <f t="shared" si="0"/>
        <v/>
      </c>
      <c r="J58" s="2"/>
      <c r="K58" s="5"/>
      <c r="O58" s="2" t="str">
        <f t="shared" si="5"/>
        <v/>
      </c>
      <c r="P58" s="2"/>
      <c r="Q58" s="5"/>
      <c r="U58" s="2" t="str">
        <f t="shared" si="2"/>
        <v/>
      </c>
      <c r="V58" s="2"/>
      <c r="W58" s="5"/>
      <c r="AA58" s="2" t="str">
        <f t="shared" si="3"/>
        <v/>
      </c>
      <c r="AB58" s="2"/>
      <c r="AC58" s="5"/>
      <c r="AG58" s="2" t="str">
        <f t="shared" si="4"/>
        <v/>
      </c>
      <c r="AH58" s="2"/>
      <c r="AI58" s="5"/>
    </row>
    <row r="59" spans="1:35" ht="30" x14ac:dyDescent="0.25">
      <c r="A59" t="s">
        <v>258</v>
      </c>
      <c r="B59" t="s">
        <v>25</v>
      </c>
      <c r="C59" t="s">
        <v>259</v>
      </c>
      <c r="D59" s="6">
        <v>3300</v>
      </c>
      <c r="E59" s="3" t="s">
        <v>260</v>
      </c>
      <c r="F59" s="4" t="s">
        <v>45</v>
      </c>
      <c r="G59" t="s">
        <v>29</v>
      </c>
      <c r="I59" s="2" t="str">
        <f t="shared" si="0"/>
        <v/>
      </c>
      <c r="J59" s="2"/>
      <c r="K59" s="5"/>
      <c r="O59" s="2" t="str">
        <f t="shared" si="5"/>
        <v/>
      </c>
      <c r="P59" s="2"/>
      <c r="Q59" s="5"/>
      <c r="U59" s="2" t="str">
        <f t="shared" si="2"/>
        <v/>
      </c>
      <c r="V59" s="2"/>
      <c r="W59" s="5"/>
      <c r="AA59" s="2" t="str">
        <f t="shared" si="3"/>
        <v/>
      </c>
      <c r="AB59" s="2"/>
      <c r="AC59" s="5"/>
      <c r="AG59" s="2" t="str">
        <f t="shared" si="4"/>
        <v/>
      </c>
      <c r="AH59" s="2"/>
      <c r="AI59" s="5"/>
    </row>
    <row r="60" spans="1:35" ht="30" x14ac:dyDescent="0.25">
      <c r="A60" t="s">
        <v>261</v>
      </c>
      <c r="B60" t="s">
        <v>25</v>
      </c>
      <c r="C60" t="s">
        <v>262</v>
      </c>
      <c r="D60" s="6">
        <v>4950</v>
      </c>
      <c r="E60" s="3" t="s">
        <v>263</v>
      </c>
      <c r="F60" s="4" t="s">
        <v>45</v>
      </c>
      <c r="G60" t="s">
        <v>29</v>
      </c>
      <c r="I60" s="2" t="str">
        <f t="shared" si="0"/>
        <v/>
      </c>
      <c r="J60" s="2"/>
      <c r="K60" s="5"/>
      <c r="O60" s="2" t="str">
        <f t="shared" si="5"/>
        <v/>
      </c>
      <c r="P60" s="2"/>
      <c r="Q60" s="5"/>
      <c r="U60" s="2" t="str">
        <f t="shared" si="2"/>
        <v/>
      </c>
      <c r="V60" s="2"/>
      <c r="W60" s="5"/>
      <c r="AA60" s="2" t="str">
        <f t="shared" si="3"/>
        <v/>
      </c>
      <c r="AB60" s="2"/>
      <c r="AC60" s="5"/>
      <c r="AG60" s="2" t="str">
        <f t="shared" si="4"/>
        <v/>
      </c>
      <c r="AH60" s="2"/>
      <c r="AI60" s="5"/>
    </row>
    <row r="61" spans="1:35" ht="30" x14ac:dyDescent="0.25">
      <c r="A61" t="s">
        <v>264</v>
      </c>
      <c r="B61" t="s">
        <v>25</v>
      </c>
      <c r="C61" t="s">
        <v>265</v>
      </c>
      <c r="D61" s="6">
        <v>3560</v>
      </c>
      <c r="E61" s="3" t="s">
        <v>266</v>
      </c>
      <c r="F61" s="4" t="s">
        <v>45</v>
      </c>
      <c r="G61" t="s">
        <v>29</v>
      </c>
      <c r="I61" s="2" t="str">
        <f t="shared" si="0"/>
        <v/>
      </c>
      <c r="J61" s="2"/>
      <c r="K61" s="5"/>
      <c r="O61" s="2" t="str">
        <f t="shared" si="5"/>
        <v/>
      </c>
      <c r="P61" s="2"/>
      <c r="Q61" s="5"/>
      <c r="U61" s="2" t="str">
        <f t="shared" si="2"/>
        <v/>
      </c>
      <c r="V61" s="2"/>
      <c r="W61" s="5"/>
      <c r="AA61" s="2" t="str">
        <f t="shared" si="3"/>
        <v/>
      </c>
      <c r="AB61" s="2"/>
      <c r="AC61" s="5"/>
      <c r="AG61" s="2" t="str">
        <f t="shared" si="4"/>
        <v/>
      </c>
      <c r="AH61" s="2"/>
      <c r="AI61" s="5"/>
    </row>
    <row r="62" spans="1:35" ht="30" x14ac:dyDescent="0.25">
      <c r="A62" t="s">
        <v>267</v>
      </c>
      <c r="B62" t="s">
        <v>25</v>
      </c>
      <c r="C62" t="s">
        <v>268</v>
      </c>
      <c r="D62" s="6">
        <v>2655</v>
      </c>
      <c r="E62" s="3" t="s">
        <v>269</v>
      </c>
      <c r="F62" s="4" t="s">
        <v>212</v>
      </c>
      <c r="G62" t="s">
        <v>29</v>
      </c>
      <c r="I62" s="2" t="str">
        <f t="shared" si="0"/>
        <v/>
      </c>
      <c r="J62" s="2"/>
      <c r="K62" s="5"/>
      <c r="O62" s="2" t="str">
        <f t="shared" si="5"/>
        <v/>
      </c>
      <c r="P62" s="2"/>
      <c r="Q62" s="5"/>
      <c r="U62" s="2" t="str">
        <f t="shared" si="2"/>
        <v/>
      </c>
      <c r="V62" s="2"/>
      <c r="W62" s="5"/>
      <c r="AA62" s="2" t="str">
        <f t="shared" si="3"/>
        <v/>
      </c>
      <c r="AB62" s="2"/>
      <c r="AC62" s="5"/>
      <c r="AG62" s="2" t="str">
        <f t="shared" si="4"/>
        <v/>
      </c>
      <c r="AH62" s="2"/>
      <c r="AI62" s="5"/>
    </row>
    <row r="63" spans="1:35" ht="30" x14ac:dyDescent="0.25">
      <c r="A63" t="s">
        <v>213</v>
      </c>
      <c r="B63" t="s">
        <v>25</v>
      </c>
      <c r="C63" t="s">
        <v>270</v>
      </c>
      <c r="D63" s="6">
        <v>5700</v>
      </c>
      <c r="E63" s="3" t="s">
        <v>271</v>
      </c>
      <c r="F63" s="4" t="s">
        <v>45</v>
      </c>
      <c r="G63" t="s">
        <v>29</v>
      </c>
      <c r="I63" s="2" t="str">
        <f t="shared" si="0"/>
        <v/>
      </c>
      <c r="J63" s="2"/>
      <c r="K63" s="5"/>
      <c r="O63" s="2" t="str">
        <f t="shared" si="5"/>
        <v/>
      </c>
      <c r="P63" s="2"/>
      <c r="Q63" s="5"/>
      <c r="U63" s="2" t="str">
        <f t="shared" si="2"/>
        <v/>
      </c>
      <c r="V63" s="2"/>
      <c r="W63" s="5"/>
      <c r="AA63" s="2" t="str">
        <f t="shared" si="3"/>
        <v/>
      </c>
      <c r="AB63" s="2"/>
      <c r="AC63" s="5"/>
      <c r="AG63" s="2" t="str">
        <f t="shared" si="4"/>
        <v/>
      </c>
      <c r="AH63" s="2"/>
      <c r="AI63" s="5"/>
    </row>
    <row r="64" spans="1:35" ht="30" x14ac:dyDescent="0.25">
      <c r="A64" t="s">
        <v>272</v>
      </c>
      <c r="B64" t="s">
        <v>25</v>
      </c>
      <c r="C64" t="s">
        <v>273</v>
      </c>
      <c r="D64" s="6">
        <v>3525</v>
      </c>
      <c r="E64" s="3" t="s">
        <v>274</v>
      </c>
      <c r="F64" s="4" t="s">
        <v>78</v>
      </c>
      <c r="G64" t="s">
        <v>29</v>
      </c>
      <c r="I64" s="2" t="str">
        <f t="shared" si="0"/>
        <v/>
      </c>
      <c r="J64" s="2"/>
      <c r="K64" s="5"/>
      <c r="O64" s="2" t="str">
        <f t="shared" si="5"/>
        <v/>
      </c>
      <c r="P64" s="2"/>
      <c r="Q64" s="5"/>
      <c r="U64" s="2" t="str">
        <f t="shared" si="2"/>
        <v/>
      </c>
      <c r="V64" s="2"/>
      <c r="W64" s="5"/>
      <c r="AA64" s="2" t="str">
        <f t="shared" si="3"/>
        <v/>
      </c>
      <c r="AB64" s="2"/>
      <c r="AC64" s="5"/>
      <c r="AG64" s="2" t="str">
        <f t="shared" si="4"/>
        <v/>
      </c>
      <c r="AH64" s="2"/>
      <c r="AI64" s="5"/>
    </row>
    <row r="65" spans="1:35" ht="30" x14ac:dyDescent="0.25">
      <c r="A65" t="s">
        <v>275</v>
      </c>
      <c r="B65" t="s">
        <v>25</v>
      </c>
      <c r="C65" t="s">
        <v>276</v>
      </c>
      <c r="D65" s="6">
        <v>2470</v>
      </c>
      <c r="E65" s="3" t="s">
        <v>277</v>
      </c>
      <c r="F65" s="4" t="s">
        <v>278</v>
      </c>
      <c r="G65" t="s">
        <v>29</v>
      </c>
      <c r="I65" s="2" t="str">
        <f t="shared" si="0"/>
        <v/>
      </c>
      <c r="J65" s="2"/>
      <c r="K65" s="5"/>
      <c r="O65" s="2" t="str">
        <f t="shared" si="5"/>
        <v/>
      </c>
      <c r="P65" s="2"/>
      <c r="Q65" s="5"/>
      <c r="U65" s="2" t="str">
        <f t="shared" si="2"/>
        <v/>
      </c>
      <c r="V65" s="2"/>
      <c r="W65" s="5"/>
      <c r="AA65" s="2" t="str">
        <f t="shared" si="3"/>
        <v/>
      </c>
      <c r="AB65" s="2"/>
      <c r="AC65" s="5"/>
      <c r="AG65" s="2" t="str">
        <f t="shared" si="4"/>
        <v/>
      </c>
      <c r="AH65" s="2"/>
      <c r="AI65" s="5"/>
    </row>
    <row r="66" spans="1:35" ht="30" x14ac:dyDescent="0.25">
      <c r="A66" t="s">
        <v>279</v>
      </c>
      <c r="B66" t="s">
        <v>25</v>
      </c>
      <c r="C66" t="s">
        <v>280</v>
      </c>
      <c r="D66" s="6">
        <v>2680</v>
      </c>
      <c r="E66" s="3" t="s">
        <v>281</v>
      </c>
      <c r="F66" s="4" t="s">
        <v>78</v>
      </c>
      <c r="G66" t="s">
        <v>29</v>
      </c>
      <c r="I66" s="2" t="str">
        <f t="shared" si="0"/>
        <v/>
      </c>
      <c r="J66" s="2"/>
      <c r="K66" s="5"/>
      <c r="O66" s="2" t="str">
        <f t="shared" si="5"/>
        <v/>
      </c>
      <c r="P66" s="2"/>
      <c r="Q66" s="5"/>
      <c r="U66" s="2" t="str">
        <f t="shared" si="2"/>
        <v/>
      </c>
      <c r="V66" s="2"/>
      <c r="W66" s="5"/>
      <c r="AA66" s="2" t="str">
        <f t="shared" si="3"/>
        <v/>
      </c>
      <c r="AB66" s="2"/>
      <c r="AC66" s="5"/>
      <c r="AG66" s="2" t="str">
        <f t="shared" si="4"/>
        <v/>
      </c>
      <c r="AH66" s="2"/>
      <c r="AI66" s="5"/>
    </row>
    <row r="67" spans="1:35" ht="30" x14ac:dyDescent="0.25">
      <c r="A67" t="s">
        <v>282</v>
      </c>
      <c r="B67" t="s">
        <v>25</v>
      </c>
      <c r="C67" t="s">
        <v>283</v>
      </c>
      <c r="D67" s="6">
        <v>2475</v>
      </c>
      <c r="E67" s="3" t="s">
        <v>284</v>
      </c>
      <c r="F67" s="4" t="s">
        <v>128</v>
      </c>
      <c r="G67" t="s">
        <v>29</v>
      </c>
      <c r="I67" s="2" t="str">
        <f t="shared" si="0"/>
        <v/>
      </c>
      <c r="J67" s="2"/>
      <c r="K67" s="5"/>
      <c r="O67" s="2" t="str">
        <f t="shared" si="5"/>
        <v/>
      </c>
      <c r="P67" s="2"/>
      <c r="Q67" s="5"/>
      <c r="U67" s="2" t="str">
        <f t="shared" si="2"/>
        <v/>
      </c>
      <c r="V67" s="2"/>
      <c r="W67" s="5"/>
      <c r="AA67" s="2" t="str">
        <f t="shared" si="3"/>
        <v/>
      </c>
      <c r="AB67" s="2"/>
      <c r="AC67" s="5"/>
      <c r="AG67" s="2" t="str">
        <f t="shared" si="4"/>
        <v/>
      </c>
      <c r="AH67" s="2"/>
      <c r="AI67" s="5"/>
    </row>
    <row r="68" spans="1:35" ht="30" x14ac:dyDescent="0.25">
      <c r="A68" t="s">
        <v>285</v>
      </c>
      <c r="B68" t="s">
        <v>25</v>
      </c>
      <c r="C68" t="s">
        <v>286</v>
      </c>
      <c r="D68" s="6">
        <v>4275</v>
      </c>
      <c r="E68" s="3" t="s">
        <v>287</v>
      </c>
      <c r="F68" s="4" t="s">
        <v>94</v>
      </c>
      <c r="G68" t="s">
        <v>29</v>
      </c>
      <c r="I68" s="2" t="str">
        <f t="shared" si="0"/>
        <v/>
      </c>
      <c r="J68" s="2"/>
      <c r="K68" s="5"/>
      <c r="O68" s="2" t="str">
        <f t="shared" si="5"/>
        <v/>
      </c>
      <c r="P68" s="2"/>
      <c r="Q68" s="5"/>
      <c r="U68" s="2" t="str">
        <f t="shared" si="2"/>
        <v/>
      </c>
      <c r="V68" s="2"/>
      <c r="W68" s="5"/>
      <c r="AA68" s="2" t="str">
        <f t="shared" si="3"/>
        <v/>
      </c>
      <c r="AB68" s="2"/>
      <c r="AC68" s="5"/>
      <c r="AG68" s="2" t="str">
        <f t="shared" si="4"/>
        <v/>
      </c>
      <c r="AH68" s="2"/>
      <c r="AI68" s="5"/>
    </row>
    <row r="69" spans="1:35" ht="30" x14ac:dyDescent="0.25">
      <c r="A69" t="s">
        <v>288</v>
      </c>
      <c r="B69" t="s">
        <v>25</v>
      </c>
      <c r="C69" t="s">
        <v>289</v>
      </c>
      <c r="D69" s="6">
        <v>2710</v>
      </c>
      <c r="E69" s="3" t="s">
        <v>290</v>
      </c>
      <c r="F69" s="4" t="s">
        <v>45</v>
      </c>
      <c r="G69" t="s">
        <v>29</v>
      </c>
      <c r="I69" s="2" t="str">
        <f t="shared" si="0"/>
        <v/>
      </c>
      <c r="J69" s="2"/>
      <c r="K69" s="5"/>
      <c r="O69" s="2" t="str">
        <f t="shared" si="5"/>
        <v/>
      </c>
      <c r="P69" s="2"/>
      <c r="Q69" s="5"/>
      <c r="U69" s="2" t="str">
        <f t="shared" si="2"/>
        <v/>
      </c>
      <c r="V69" s="2"/>
      <c r="W69" s="5"/>
      <c r="AA69" s="2" t="str">
        <f t="shared" si="3"/>
        <v/>
      </c>
      <c r="AB69" s="2"/>
      <c r="AC69" s="5"/>
      <c r="AG69" s="2" t="str">
        <f t="shared" si="4"/>
        <v/>
      </c>
      <c r="AH69" s="2"/>
      <c r="AI69" s="5"/>
    </row>
    <row r="70" spans="1:35" ht="30" x14ac:dyDescent="0.25">
      <c r="A70" t="s">
        <v>291</v>
      </c>
      <c r="B70" t="s">
        <v>25</v>
      </c>
      <c r="C70" t="s">
        <v>292</v>
      </c>
      <c r="D70" s="6">
        <v>2478</v>
      </c>
      <c r="E70" s="3" t="s">
        <v>293</v>
      </c>
      <c r="F70" s="4" t="s">
        <v>28</v>
      </c>
      <c r="G70" t="s">
        <v>29</v>
      </c>
      <c r="I70" s="2" t="str">
        <f t="shared" si="0"/>
        <v/>
      </c>
      <c r="J70" s="2"/>
      <c r="K70" s="5"/>
      <c r="O70" s="2" t="str">
        <f t="shared" si="5"/>
        <v/>
      </c>
      <c r="P70" s="2"/>
      <c r="Q70" s="5"/>
      <c r="U70" s="2" t="str">
        <f t="shared" si="2"/>
        <v/>
      </c>
      <c r="V70" s="2"/>
      <c r="W70" s="5"/>
      <c r="AA70" s="2" t="str">
        <f t="shared" si="3"/>
        <v/>
      </c>
      <c r="AB70" s="2"/>
      <c r="AC70" s="5"/>
      <c r="AG70" s="2" t="str">
        <f t="shared" si="4"/>
        <v/>
      </c>
      <c r="AH70" s="2"/>
      <c r="AI70" s="5"/>
    </row>
    <row r="71" spans="1:35" ht="30" x14ac:dyDescent="0.25">
      <c r="A71" t="s">
        <v>294</v>
      </c>
      <c r="B71" t="s">
        <v>25</v>
      </c>
      <c r="C71" t="s">
        <v>295</v>
      </c>
      <c r="D71" s="6">
        <v>2565</v>
      </c>
      <c r="E71" s="3" t="s">
        <v>296</v>
      </c>
      <c r="F71" s="4" t="s">
        <v>78</v>
      </c>
      <c r="G71" t="s">
        <v>29</v>
      </c>
      <c r="I71" s="2" t="str">
        <f t="shared" si="0"/>
        <v/>
      </c>
      <c r="J71" s="2"/>
      <c r="K71" s="5"/>
      <c r="O71" s="2" t="str">
        <f t="shared" si="5"/>
        <v/>
      </c>
      <c r="P71" s="2"/>
      <c r="Q71" s="5"/>
      <c r="U71" s="2" t="str">
        <f t="shared" si="2"/>
        <v/>
      </c>
      <c r="V71" s="2"/>
      <c r="W71" s="5"/>
      <c r="AA71" s="2" t="str">
        <f t="shared" si="3"/>
        <v/>
      </c>
      <c r="AB71" s="2"/>
      <c r="AC71" s="5"/>
      <c r="AG71" s="2" t="str">
        <f t="shared" si="4"/>
        <v/>
      </c>
      <c r="AH71" s="2"/>
      <c r="AI71" s="5"/>
    </row>
    <row r="72" spans="1:35" ht="30" x14ac:dyDescent="0.25">
      <c r="A72" t="s">
        <v>297</v>
      </c>
      <c r="B72" t="s">
        <v>25</v>
      </c>
      <c r="C72" t="s">
        <v>298</v>
      </c>
      <c r="D72" s="6">
        <v>2565</v>
      </c>
      <c r="E72" s="3" t="s">
        <v>299</v>
      </c>
      <c r="F72" s="4" t="s">
        <v>78</v>
      </c>
      <c r="G72" t="s">
        <v>29</v>
      </c>
      <c r="I72" s="2" t="str">
        <f t="shared" si="0"/>
        <v/>
      </c>
      <c r="J72" s="2"/>
      <c r="K72" s="5"/>
      <c r="O72" s="2" t="str">
        <f t="shared" si="5"/>
        <v/>
      </c>
      <c r="P72" s="2"/>
      <c r="Q72" s="5"/>
      <c r="U72" s="2" t="str">
        <f t="shared" si="2"/>
        <v/>
      </c>
      <c r="V72" s="2"/>
      <c r="W72" s="5"/>
      <c r="AA72" s="2" t="str">
        <f t="shared" si="3"/>
        <v/>
      </c>
      <c r="AB72" s="2"/>
      <c r="AC72" s="5"/>
      <c r="AG72" s="2" t="str">
        <f t="shared" si="4"/>
        <v/>
      </c>
      <c r="AH72" s="2"/>
      <c r="AI72" s="5"/>
    </row>
    <row r="73" spans="1:35" ht="30" x14ac:dyDescent="0.25">
      <c r="A73" t="s">
        <v>300</v>
      </c>
      <c r="B73" t="s">
        <v>25</v>
      </c>
      <c r="C73" t="s">
        <v>301</v>
      </c>
      <c r="D73" s="6">
        <v>2470</v>
      </c>
      <c r="E73" s="3" t="s">
        <v>302</v>
      </c>
      <c r="F73" s="4" t="s">
        <v>303</v>
      </c>
      <c r="G73" t="s">
        <v>29</v>
      </c>
      <c r="I73" s="2" t="str">
        <f t="shared" si="0"/>
        <v/>
      </c>
      <c r="J73" s="2"/>
      <c r="K73" s="5"/>
      <c r="O73" s="2" t="str">
        <f t="shared" si="5"/>
        <v/>
      </c>
      <c r="P73" s="2"/>
      <c r="Q73" s="5"/>
      <c r="U73" s="2" t="str">
        <f t="shared" si="2"/>
        <v/>
      </c>
      <c r="V73" s="2"/>
      <c r="W73" s="5"/>
      <c r="AA73" s="2" t="str">
        <f t="shared" si="3"/>
        <v/>
      </c>
      <c r="AB73" s="2"/>
      <c r="AC73" s="5"/>
      <c r="AG73" s="2" t="str">
        <f t="shared" si="4"/>
        <v/>
      </c>
      <c r="AH73" s="2"/>
      <c r="AI73" s="5"/>
    </row>
    <row r="74" spans="1:35" ht="30" x14ac:dyDescent="0.25">
      <c r="A74" t="s">
        <v>304</v>
      </c>
      <c r="B74" t="s">
        <v>25</v>
      </c>
      <c r="C74" t="s">
        <v>305</v>
      </c>
      <c r="D74" s="6">
        <v>12440</v>
      </c>
      <c r="E74" s="3" t="s">
        <v>306</v>
      </c>
      <c r="F74" s="4" t="s">
        <v>28</v>
      </c>
      <c r="G74" t="s">
        <v>29</v>
      </c>
      <c r="I74" s="2" t="str">
        <f t="shared" ref="I74:I75" si="6">IF(OR(D74=0,D74="",H74=0,H74=""),"",IF(H74&lt;=(D74*1.3),"Dentro del margen","Fuera del margen"))</f>
        <v/>
      </c>
      <c r="J74" s="2"/>
      <c r="K74" s="5"/>
      <c r="O74" s="2" t="str">
        <f t="shared" ref="O74:O75" si="7">IF(OR(D74=0,D74="",N74=0,N74=""),"",IF(N74&lt;=(D74*1.3),"Dentro del margen","Fuera del margen"))</f>
        <v/>
      </c>
      <c r="P74" s="2"/>
      <c r="Q74" s="5"/>
      <c r="U74" s="2" t="str">
        <f t="shared" ref="U74:U75" si="8">IF(OR(D74=0,D74="",T74=0,T74=""),"",IF(T74&lt;=(D74*1.3),"Dentro del margen","Fuera del margen"))</f>
        <v/>
      </c>
      <c r="V74" s="2"/>
      <c r="W74" s="5"/>
      <c r="AA74" s="2" t="str">
        <f t="shared" ref="AA74:AA75" si="9">IF(OR(D74=0,D74="",Z74=0,Z74=""),"",IF(Z74&lt;=(D74*1.3),"Dentro del margen","Fuera del margen"))</f>
        <v/>
      </c>
      <c r="AB74" s="2"/>
      <c r="AC74" s="5"/>
      <c r="AG74" s="2" t="str">
        <f t="shared" ref="AG74:AG75" si="10">IF(OR(D74=0,D74="",AF74=0,AF74=""),"",IF(AF74&lt;=(D74*1.3),"Dentro del margen","Fuera del margen"))</f>
        <v/>
      </c>
      <c r="AH74" s="2"/>
      <c r="AI74" s="5"/>
    </row>
    <row r="75" spans="1:35" ht="30" x14ac:dyDescent="0.25">
      <c r="A75" t="s">
        <v>307</v>
      </c>
      <c r="B75" t="s">
        <v>25</v>
      </c>
      <c r="C75" t="s">
        <v>308</v>
      </c>
      <c r="D75" s="6">
        <v>3475</v>
      </c>
      <c r="E75" s="3" t="s">
        <v>309</v>
      </c>
      <c r="F75" s="4" t="s">
        <v>94</v>
      </c>
      <c r="G75" t="s">
        <v>29</v>
      </c>
      <c r="I75" s="2" t="str">
        <f t="shared" si="6"/>
        <v/>
      </c>
      <c r="J75" s="2"/>
      <c r="K75" s="5"/>
      <c r="O75" s="2" t="str">
        <f t="shared" si="7"/>
        <v/>
      </c>
      <c r="P75" s="2"/>
      <c r="Q75" s="5"/>
      <c r="U75" s="2" t="str">
        <f t="shared" si="8"/>
        <v/>
      </c>
      <c r="V75" s="2"/>
      <c r="W75" s="5"/>
      <c r="AA75" s="2" t="str">
        <f t="shared" si="9"/>
        <v/>
      </c>
      <c r="AB75" s="2"/>
      <c r="AC75" s="5"/>
      <c r="AG75" s="2" t="str">
        <f t="shared" si="10"/>
        <v/>
      </c>
      <c r="AH75" s="2"/>
      <c r="AI75" s="5"/>
    </row>
    <row r="76" spans="1:35" x14ac:dyDescent="0.25">
      <c r="C76" t="s">
        <v>310</v>
      </c>
      <c r="D76" s="8"/>
      <c r="E76" s="3"/>
      <c r="F76" s="4"/>
      <c r="H76" s="7"/>
      <c r="J76" s="2"/>
      <c r="K76" s="5" t="s">
        <v>311</v>
      </c>
      <c r="P76" s="2"/>
      <c r="Q76" s="5" t="s">
        <v>312</v>
      </c>
      <c r="V76" s="2"/>
      <c r="W76" s="5" t="s">
        <v>313</v>
      </c>
      <c r="AB76" s="2"/>
      <c r="AC76" s="5" t="s">
        <v>314</v>
      </c>
      <c r="AH76" s="2"/>
      <c r="AI76" s="5" t="s">
        <v>315</v>
      </c>
    </row>
  </sheetData>
  <mergeCells count="6">
    <mergeCell ref="AF8:AK8"/>
    <mergeCell ref="A8:G8"/>
    <mergeCell ref="H8:M8"/>
    <mergeCell ref="N8:S8"/>
    <mergeCell ref="T8:Y8"/>
    <mergeCell ref="Z8:AE8"/>
  </mergeCells>
  <pageMargins left="0" right="0" top="0" bottom="0" header="0.51181102362204722" footer="0"/>
  <pageSetup paperSize="9" scale="80" fitToWidth="0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5</vt:i4>
      </vt:variant>
    </vt:vector>
  </HeadingPairs>
  <TitlesOfParts>
    <vt:vector size="6" baseType="lpstr">
      <vt:lpstr>Cuadro comparativo</vt:lpstr>
      <vt:lpstr>'Cuadro comparativo'!Área_de_impresión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Juan Manuel Contreras</cp:lastModifiedBy>
  <cp:lastPrinted>2026-06-11T11:30:31Z</cp:lastPrinted>
  <dcterms:created xsi:type="dcterms:W3CDTF">2026-06-05T12:07:07Z</dcterms:created>
  <dcterms:modified xsi:type="dcterms:W3CDTF">2026-06-11T13:39:34Z</dcterms:modified>
</cp:coreProperties>
</file>